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jley\Downloads\"/>
    </mc:Choice>
  </mc:AlternateContent>
  <xr:revisionPtr revIDLastSave="0" documentId="13_ncr:1_{7D292C88-8227-495E-87CD-4BDC5D1706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ecast_vs_Actual" sheetId="1" r:id="rId1"/>
    <sheet name="Model_Metri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2" l="1"/>
  <c r="A26" i="2"/>
  <c r="A25" i="2"/>
  <c r="A24" i="2"/>
  <c r="A23" i="2"/>
  <c r="A22" i="2"/>
  <c r="A21" i="2"/>
  <c r="A20" i="2"/>
  <c r="A19" i="2"/>
  <c r="A18" i="2"/>
  <c r="A17" i="2"/>
  <c r="A16" i="2"/>
  <c r="A15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483" i="1"/>
  <c r="F484" i="1" s="1"/>
  <c r="E482" i="1"/>
  <c r="D482" i="1"/>
  <c r="F423" i="1"/>
  <c r="F424" i="1" s="1"/>
  <c r="E422" i="1"/>
  <c r="D422" i="1"/>
  <c r="F363" i="1"/>
  <c r="E363" i="1" s="1"/>
  <c r="D363" i="1"/>
  <c r="E362" i="1"/>
  <c r="D362" i="1"/>
  <c r="F303" i="1"/>
  <c r="F304" i="1" s="1"/>
  <c r="D303" i="1"/>
  <c r="E302" i="1"/>
  <c r="D302" i="1"/>
  <c r="F243" i="1"/>
  <c r="F244" i="1" s="1"/>
  <c r="E242" i="1"/>
  <c r="D242" i="1"/>
  <c r="F183" i="1"/>
  <c r="F184" i="1" s="1"/>
  <c r="E182" i="1"/>
  <c r="D182" i="1"/>
  <c r="F123" i="1"/>
  <c r="F124" i="1" s="1"/>
  <c r="E122" i="1"/>
  <c r="D122" i="1"/>
  <c r="F63" i="1"/>
  <c r="F64" i="1" s="1"/>
  <c r="E62" i="1"/>
  <c r="D62" i="1"/>
  <c r="F3" i="1"/>
  <c r="F4" i="1" s="1"/>
  <c r="F5" i="1" s="1"/>
  <c r="E3" i="1"/>
  <c r="E2" i="1"/>
  <c r="D2" i="1"/>
  <c r="E243" i="1" l="1"/>
  <c r="D423" i="1"/>
  <c r="D183" i="1"/>
  <c r="E183" i="1"/>
  <c r="E303" i="1"/>
  <c r="E423" i="1"/>
  <c r="E483" i="1"/>
  <c r="D243" i="1"/>
  <c r="F425" i="1"/>
  <c r="E424" i="1"/>
  <c r="D424" i="1"/>
  <c r="F485" i="1"/>
  <c r="E484" i="1"/>
  <c r="D484" i="1"/>
  <c r="D483" i="1"/>
  <c r="F364" i="1"/>
  <c r="D184" i="1"/>
  <c r="F185" i="1"/>
  <c r="E184" i="1"/>
  <c r="F245" i="1"/>
  <c r="E244" i="1"/>
  <c r="D244" i="1"/>
  <c r="F305" i="1"/>
  <c r="E304" i="1"/>
  <c r="D304" i="1"/>
  <c r="D3" i="1"/>
  <c r="D63" i="1"/>
  <c r="E63" i="1"/>
  <c r="D123" i="1"/>
  <c r="F125" i="1"/>
  <c r="E124" i="1"/>
  <c r="D124" i="1"/>
  <c r="E123" i="1"/>
  <c r="F65" i="1"/>
  <c r="E64" i="1"/>
  <c r="D64" i="1"/>
  <c r="F6" i="1"/>
  <c r="E5" i="1"/>
  <c r="D5" i="1"/>
  <c r="E4" i="1"/>
  <c r="D4" i="1"/>
  <c r="F365" i="1" l="1"/>
  <c r="E364" i="1"/>
  <c r="D364" i="1"/>
  <c r="F486" i="1"/>
  <c r="E485" i="1"/>
  <c r="D485" i="1"/>
  <c r="F426" i="1"/>
  <c r="E425" i="1"/>
  <c r="D425" i="1"/>
  <c r="F306" i="1"/>
  <c r="E305" i="1"/>
  <c r="D305" i="1"/>
  <c r="F186" i="1"/>
  <c r="E185" i="1"/>
  <c r="D185" i="1"/>
  <c r="F246" i="1"/>
  <c r="E245" i="1"/>
  <c r="D245" i="1"/>
  <c r="F126" i="1"/>
  <c r="E125" i="1"/>
  <c r="D125" i="1"/>
  <c r="F66" i="1"/>
  <c r="E65" i="1"/>
  <c r="D65" i="1"/>
  <c r="E6" i="1"/>
  <c r="F7" i="1"/>
  <c r="D6" i="1"/>
  <c r="F487" i="1" l="1"/>
  <c r="E486" i="1"/>
  <c r="D486" i="1"/>
  <c r="F427" i="1"/>
  <c r="E426" i="1"/>
  <c r="D426" i="1"/>
  <c r="D365" i="1"/>
  <c r="F366" i="1"/>
  <c r="E365" i="1"/>
  <c r="F247" i="1"/>
  <c r="E246" i="1"/>
  <c r="D246" i="1"/>
  <c r="F187" i="1"/>
  <c r="E186" i="1"/>
  <c r="D186" i="1"/>
  <c r="F307" i="1"/>
  <c r="E306" i="1"/>
  <c r="D306" i="1"/>
  <c r="E126" i="1"/>
  <c r="F127" i="1"/>
  <c r="D126" i="1"/>
  <c r="F67" i="1"/>
  <c r="E66" i="1"/>
  <c r="D66" i="1"/>
  <c r="E7" i="1"/>
  <c r="D7" i="1"/>
  <c r="F8" i="1"/>
  <c r="F367" i="1" l="1"/>
  <c r="E366" i="1"/>
  <c r="D366" i="1"/>
  <c r="E427" i="1"/>
  <c r="D427" i="1"/>
  <c r="F428" i="1"/>
  <c r="F488" i="1"/>
  <c r="E487" i="1"/>
  <c r="D487" i="1"/>
  <c r="E187" i="1"/>
  <c r="D187" i="1"/>
  <c r="F188" i="1"/>
  <c r="E307" i="1"/>
  <c r="D307" i="1"/>
  <c r="F308" i="1"/>
  <c r="E247" i="1"/>
  <c r="D247" i="1"/>
  <c r="F248" i="1"/>
  <c r="E127" i="1"/>
  <c r="D127" i="1"/>
  <c r="F128" i="1"/>
  <c r="E67" i="1"/>
  <c r="D67" i="1"/>
  <c r="F68" i="1"/>
  <c r="E8" i="1"/>
  <c r="D8" i="1"/>
  <c r="F9" i="1"/>
  <c r="D428" i="1" l="1"/>
  <c r="F429" i="1"/>
  <c r="E428" i="1"/>
  <c r="E488" i="1"/>
  <c r="D488" i="1"/>
  <c r="F489" i="1"/>
  <c r="E367" i="1"/>
  <c r="D367" i="1"/>
  <c r="F368" i="1"/>
  <c r="E308" i="1"/>
  <c r="D308" i="1"/>
  <c r="F309" i="1"/>
  <c r="F189" i="1"/>
  <c r="E188" i="1"/>
  <c r="D188" i="1"/>
  <c r="D248" i="1"/>
  <c r="F249" i="1"/>
  <c r="E248" i="1"/>
  <c r="E128" i="1"/>
  <c r="D128" i="1"/>
  <c r="F129" i="1"/>
  <c r="E68" i="1"/>
  <c r="D68" i="1"/>
  <c r="F69" i="1"/>
  <c r="E9" i="1"/>
  <c r="D9" i="1"/>
  <c r="F10" i="1"/>
  <c r="F369" i="1" l="1"/>
  <c r="D368" i="1"/>
  <c r="E368" i="1"/>
  <c r="D489" i="1"/>
  <c r="F490" i="1"/>
  <c r="E489" i="1"/>
  <c r="D429" i="1"/>
  <c r="F430" i="1"/>
  <c r="E429" i="1"/>
  <c r="F250" i="1"/>
  <c r="D249" i="1"/>
  <c r="E249" i="1"/>
  <c r="F310" i="1"/>
  <c r="E309" i="1"/>
  <c r="D309" i="1"/>
  <c r="E189" i="1"/>
  <c r="F190" i="1"/>
  <c r="D189" i="1"/>
  <c r="F130" i="1"/>
  <c r="E129" i="1"/>
  <c r="D129" i="1"/>
  <c r="F70" i="1"/>
  <c r="E69" i="1"/>
  <c r="D69" i="1"/>
  <c r="E10" i="1"/>
  <c r="D10" i="1"/>
  <c r="F11" i="1"/>
  <c r="F431" i="1" l="1"/>
  <c r="E430" i="1"/>
  <c r="D430" i="1"/>
  <c r="F491" i="1"/>
  <c r="E490" i="1"/>
  <c r="D490" i="1"/>
  <c r="D369" i="1"/>
  <c r="F370" i="1"/>
  <c r="E369" i="1"/>
  <c r="F191" i="1"/>
  <c r="E190" i="1"/>
  <c r="D190" i="1"/>
  <c r="E310" i="1"/>
  <c r="D310" i="1"/>
  <c r="F311" i="1"/>
  <c r="D250" i="1"/>
  <c r="F251" i="1"/>
  <c r="E250" i="1"/>
  <c r="D130" i="1"/>
  <c r="E130" i="1"/>
  <c r="F131" i="1"/>
  <c r="F71" i="1"/>
  <c r="D70" i="1"/>
  <c r="E70" i="1"/>
  <c r="D11" i="1"/>
  <c r="F12" i="1"/>
  <c r="E11" i="1"/>
  <c r="F492" i="1" l="1"/>
  <c r="E491" i="1"/>
  <c r="D491" i="1"/>
  <c r="F371" i="1"/>
  <c r="D370" i="1"/>
  <c r="E370" i="1"/>
  <c r="F432" i="1"/>
  <c r="E431" i="1"/>
  <c r="D431" i="1"/>
  <c r="F252" i="1"/>
  <c r="E251" i="1"/>
  <c r="D251" i="1"/>
  <c r="F312" i="1"/>
  <c r="E311" i="1"/>
  <c r="D311" i="1"/>
  <c r="F192" i="1"/>
  <c r="E191" i="1"/>
  <c r="D191" i="1"/>
  <c r="F132" i="1"/>
  <c r="D131" i="1"/>
  <c r="E131" i="1"/>
  <c r="F72" i="1"/>
  <c r="E71" i="1"/>
  <c r="D71" i="1"/>
  <c r="F13" i="1"/>
  <c r="E12" i="1"/>
  <c r="D12" i="1"/>
  <c r="F372" i="1" l="1"/>
  <c r="E371" i="1"/>
  <c r="D371" i="1"/>
  <c r="F433" i="1"/>
  <c r="E432" i="1"/>
  <c r="D432" i="1"/>
  <c r="F493" i="1"/>
  <c r="E492" i="1"/>
  <c r="D492" i="1"/>
  <c r="F193" i="1"/>
  <c r="E192" i="1"/>
  <c r="D192" i="1"/>
  <c r="F313" i="1"/>
  <c r="E312" i="1"/>
  <c r="D312" i="1"/>
  <c r="F253" i="1"/>
  <c r="E252" i="1"/>
  <c r="D252" i="1"/>
  <c r="F133" i="1"/>
  <c r="E132" i="1"/>
  <c r="D132" i="1"/>
  <c r="F73" i="1"/>
  <c r="E72" i="1"/>
  <c r="D72" i="1"/>
  <c r="F14" i="1"/>
  <c r="D13" i="1"/>
  <c r="E13" i="1"/>
  <c r="F494" i="1" l="1"/>
  <c r="E493" i="1"/>
  <c r="D493" i="1"/>
  <c r="F434" i="1"/>
  <c r="E433" i="1"/>
  <c r="D433" i="1"/>
  <c r="F373" i="1"/>
  <c r="E372" i="1"/>
  <c r="D372" i="1"/>
  <c r="F314" i="1"/>
  <c r="E313" i="1"/>
  <c r="D313" i="1"/>
  <c r="F254" i="1"/>
  <c r="E253" i="1"/>
  <c r="D253" i="1"/>
  <c r="E193" i="1"/>
  <c r="D193" i="1"/>
  <c r="F194" i="1"/>
  <c r="F134" i="1"/>
  <c r="D133" i="1"/>
  <c r="E133" i="1"/>
  <c r="F74" i="1"/>
  <c r="E73" i="1"/>
  <c r="D73" i="1"/>
  <c r="F15" i="1"/>
  <c r="E14" i="1"/>
  <c r="D14" i="1"/>
  <c r="E373" i="1" l="1"/>
  <c r="D373" i="1"/>
  <c r="F374" i="1"/>
  <c r="E434" i="1"/>
  <c r="D434" i="1"/>
  <c r="F435" i="1"/>
  <c r="E494" i="1"/>
  <c r="D494" i="1"/>
  <c r="F495" i="1"/>
  <c r="E194" i="1"/>
  <c r="D194" i="1"/>
  <c r="F195" i="1"/>
  <c r="E254" i="1"/>
  <c r="D254" i="1"/>
  <c r="F255" i="1"/>
  <c r="E314" i="1"/>
  <c r="D314" i="1"/>
  <c r="F315" i="1"/>
  <c r="E134" i="1"/>
  <c r="D134" i="1"/>
  <c r="F135" i="1"/>
  <c r="E74" i="1"/>
  <c r="D74" i="1"/>
  <c r="F75" i="1"/>
  <c r="F16" i="1"/>
  <c r="E15" i="1"/>
  <c r="D15" i="1"/>
  <c r="E435" i="1" l="1"/>
  <c r="F436" i="1"/>
  <c r="D435" i="1"/>
  <c r="D495" i="1"/>
  <c r="E495" i="1"/>
  <c r="F496" i="1"/>
  <c r="E374" i="1"/>
  <c r="D374" i="1"/>
  <c r="F375" i="1"/>
  <c r="F196" i="1"/>
  <c r="E195" i="1"/>
  <c r="D195" i="1"/>
  <c r="D315" i="1"/>
  <c r="F316" i="1"/>
  <c r="E315" i="1"/>
  <c r="F256" i="1"/>
  <c r="E255" i="1"/>
  <c r="D255" i="1"/>
  <c r="D135" i="1"/>
  <c r="F136" i="1"/>
  <c r="E135" i="1"/>
  <c r="D75" i="1"/>
  <c r="F76" i="1"/>
  <c r="E75" i="1"/>
  <c r="F17" i="1"/>
  <c r="E16" i="1"/>
  <c r="D16" i="1"/>
  <c r="D375" i="1" l="1"/>
  <c r="F376" i="1"/>
  <c r="E375" i="1"/>
  <c r="F497" i="1"/>
  <c r="E496" i="1"/>
  <c r="D496" i="1"/>
  <c r="F437" i="1"/>
  <c r="E436" i="1"/>
  <c r="D436" i="1"/>
  <c r="D256" i="1"/>
  <c r="E256" i="1"/>
  <c r="F257" i="1"/>
  <c r="E316" i="1"/>
  <c r="F317" i="1"/>
  <c r="D316" i="1"/>
  <c r="E196" i="1"/>
  <c r="D196" i="1"/>
  <c r="F197" i="1"/>
  <c r="F137" i="1"/>
  <c r="E136" i="1"/>
  <c r="D136" i="1"/>
  <c r="F77" i="1"/>
  <c r="E76" i="1"/>
  <c r="D76" i="1"/>
  <c r="E17" i="1"/>
  <c r="D17" i="1"/>
  <c r="F18" i="1"/>
  <c r="D376" i="1" l="1"/>
  <c r="F377" i="1"/>
  <c r="E376" i="1"/>
  <c r="F438" i="1"/>
  <c r="E437" i="1"/>
  <c r="D437" i="1"/>
  <c r="F498" i="1"/>
  <c r="E497" i="1"/>
  <c r="D497" i="1"/>
  <c r="D317" i="1"/>
  <c r="F318" i="1"/>
  <c r="E317" i="1"/>
  <c r="F258" i="1"/>
  <c r="E257" i="1"/>
  <c r="D257" i="1"/>
  <c r="E197" i="1"/>
  <c r="F198" i="1"/>
  <c r="D197" i="1"/>
  <c r="F138" i="1"/>
  <c r="E137" i="1"/>
  <c r="D137" i="1"/>
  <c r="F78" i="1"/>
  <c r="E77" i="1"/>
  <c r="D77" i="1"/>
  <c r="E18" i="1"/>
  <c r="D18" i="1"/>
  <c r="F19" i="1"/>
  <c r="F499" i="1" l="1"/>
  <c r="E498" i="1"/>
  <c r="D498" i="1"/>
  <c r="F439" i="1"/>
  <c r="E438" i="1"/>
  <c r="D438" i="1"/>
  <c r="D377" i="1"/>
  <c r="F378" i="1"/>
  <c r="E377" i="1"/>
  <c r="F199" i="1"/>
  <c r="E198" i="1"/>
  <c r="D198" i="1"/>
  <c r="F259" i="1"/>
  <c r="E258" i="1"/>
  <c r="D258" i="1"/>
  <c r="F319" i="1"/>
  <c r="E318" i="1"/>
  <c r="D318" i="1"/>
  <c r="F139" i="1"/>
  <c r="E138" i="1"/>
  <c r="D138" i="1"/>
  <c r="E78" i="1"/>
  <c r="F79" i="1"/>
  <c r="D78" i="1"/>
  <c r="E19" i="1"/>
  <c r="D19" i="1"/>
  <c r="F20" i="1"/>
  <c r="E378" i="1" l="1"/>
  <c r="F379" i="1"/>
  <c r="D378" i="1"/>
  <c r="F440" i="1"/>
  <c r="E439" i="1"/>
  <c r="D439" i="1"/>
  <c r="F500" i="1"/>
  <c r="E499" i="1"/>
  <c r="D499" i="1"/>
  <c r="F320" i="1"/>
  <c r="E319" i="1"/>
  <c r="D319" i="1"/>
  <c r="F260" i="1"/>
  <c r="E259" i="1"/>
  <c r="D259" i="1"/>
  <c r="F200" i="1"/>
  <c r="E199" i="1"/>
  <c r="D199" i="1"/>
  <c r="F140" i="1"/>
  <c r="E139" i="1"/>
  <c r="D139" i="1"/>
  <c r="F80" i="1"/>
  <c r="E79" i="1"/>
  <c r="D79" i="1"/>
  <c r="E20" i="1"/>
  <c r="D20" i="1"/>
  <c r="F21" i="1"/>
  <c r="E440" i="1" l="1"/>
  <c r="F441" i="1"/>
  <c r="D440" i="1"/>
  <c r="F501" i="1"/>
  <c r="E500" i="1"/>
  <c r="D500" i="1"/>
  <c r="F380" i="1"/>
  <c r="E379" i="1"/>
  <c r="D379" i="1"/>
  <c r="E260" i="1"/>
  <c r="D260" i="1"/>
  <c r="F261" i="1"/>
  <c r="E200" i="1"/>
  <c r="D200" i="1"/>
  <c r="F201" i="1"/>
  <c r="F321" i="1"/>
  <c r="E320" i="1"/>
  <c r="D320" i="1"/>
  <c r="F141" i="1"/>
  <c r="D140" i="1"/>
  <c r="E140" i="1"/>
  <c r="F81" i="1"/>
  <c r="D80" i="1"/>
  <c r="E80" i="1"/>
  <c r="D21" i="1"/>
  <c r="F22" i="1"/>
  <c r="E21" i="1"/>
  <c r="E380" i="1" l="1"/>
  <c r="D380" i="1"/>
  <c r="F381" i="1"/>
  <c r="E441" i="1"/>
  <c r="D441" i="1"/>
  <c r="F442" i="1"/>
  <c r="E501" i="1"/>
  <c r="D501" i="1"/>
  <c r="F502" i="1"/>
  <c r="E261" i="1"/>
  <c r="D261" i="1"/>
  <c r="F262" i="1"/>
  <c r="D201" i="1"/>
  <c r="F202" i="1"/>
  <c r="E201" i="1"/>
  <c r="E321" i="1"/>
  <c r="D321" i="1"/>
  <c r="F322" i="1"/>
  <c r="E141" i="1"/>
  <c r="D141" i="1"/>
  <c r="F142" i="1"/>
  <c r="E81" i="1"/>
  <c r="D81" i="1"/>
  <c r="F82" i="1"/>
  <c r="E22" i="1"/>
  <c r="F23" i="1"/>
  <c r="D22" i="1"/>
  <c r="D442" i="1" l="1"/>
  <c r="E442" i="1"/>
  <c r="F443" i="1"/>
  <c r="D381" i="1"/>
  <c r="F382" i="1"/>
  <c r="E381" i="1"/>
  <c r="D502" i="1"/>
  <c r="F503" i="1"/>
  <c r="E502" i="1"/>
  <c r="F323" i="1"/>
  <c r="E322" i="1"/>
  <c r="D322" i="1"/>
  <c r="F263" i="1"/>
  <c r="E262" i="1"/>
  <c r="D262" i="1"/>
  <c r="E202" i="1"/>
  <c r="F203" i="1"/>
  <c r="D202" i="1"/>
  <c r="F143" i="1"/>
  <c r="E142" i="1"/>
  <c r="D142" i="1"/>
  <c r="F83" i="1"/>
  <c r="E82" i="1"/>
  <c r="D82" i="1"/>
  <c r="F24" i="1"/>
  <c r="E23" i="1"/>
  <c r="D23" i="1"/>
  <c r="E382" i="1" l="1"/>
  <c r="F383" i="1"/>
  <c r="D382" i="1"/>
  <c r="E443" i="1"/>
  <c r="D443" i="1"/>
  <c r="F444" i="1"/>
  <c r="F504" i="1"/>
  <c r="E503" i="1"/>
  <c r="D503" i="1"/>
  <c r="D203" i="1"/>
  <c r="F204" i="1"/>
  <c r="E203" i="1"/>
  <c r="D263" i="1"/>
  <c r="F264" i="1"/>
  <c r="E263" i="1"/>
  <c r="D323" i="1"/>
  <c r="E323" i="1"/>
  <c r="F324" i="1"/>
  <c r="E143" i="1"/>
  <c r="D143" i="1"/>
  <c r="F144" i="1"/>
  <c r="D83" i="1"/>
  <c r="E83" i="1"/>
  <c r="F84" i="1"/>
  <c r="F25" i="1"/>
  <c r="E24" i="1"/>
  <c r="D24" i="1"/>
  <c r="F445" i="1" l="1"/>
  <c r="E444" i="1"/>
  <c r="D444" i="1"/>
  <c r="F505" i="1"/>
  <c r="E504" i="1"/>
  <c r="D504" i="1"/>
  <c r="E383" i="1"/>
  <c r="D383" i="1"/>
  <c r="F384" i="1"/>
  <c r="F265" i="1"/>
  <c r="E264" i="1"/>
  <c r="D264" i="1"/>
  <c r="F325" i="1"/>
  <c r="E324" i="1"/>
  <c r="D324" i="1"/>
  <c r="F205" i="1"/>
  <c r="D204" i="1"/>
  <c r="E204" i="1"/>
  <c r="F145" i="1"/>
  <c r="E144" i="1"/>
  <c r="D144" i="1"/>
  <c r="F85" i="1"/>
  <c r="D84" i="1"/>
  <c r="E84" i="1"/>
  <c r="F26" i="1"/>
  <c r="E25" i="1"/>
  <c r="D25" i="1"/>
  <c r="F385" i="1" l="1"/>
  <c r="E384" i="1"/>
  <c r="D384" i="1"/>
  <c r="F506" i="1"/>
  <c r="E505" i="1"/>
  <c r="D505" i="1"/>
  <c r="F446" i="1"/>
  <c r="E445" i="1"/>
  <c r="D445" i="1"/>
  <c r="F206" i="1"/>
  <c r="E205" i="1"/>
  <c r="D205" i="1"/>
  <c r="F326" i="1"/>
  <c r="E325" i="1"/>
  <c r="D325" i="1"/>
  <c r="F266" i="1"/>
  <c r="E265" i="1"/>
  <c r="D265" i="1"/>
  <c r="F146" i="1"/>
  <c r="E145" i="1"/>
  <c r="D145" i="1"/>
  <c r="F86" i="1"/>
  <c r="D85" i="1"/>
  <c r="E85" i="1"/>
  <c r="E26" i="1"/>
  <c r="F27" i="1"/>
  <c r="D26" i="1"/>
  <c r="F447" i="1" l="1"/>
  <c r="E446" i="1"/>
  <c r="D446" i="1"/>
  <c r="F507" i="1"/>
  <c r="E506" i="1"/>
  <c r="D506" i="1"/>
  <c r="F386" i="1"/>
  <c r="D385" i="1"/>
  <c r="E385" i="1"/>
  <c r="F267" i="1"/>
  <c r="E266" i="1"/>
  <c r="D266" i="1"/>
  <c r="F327" i="1"/>
  <c r="E326" i="1"/>
  <c r="D326" i="1"/>
  <c r="F207" i="1"/>
  <c r="E206" i="1"/>
  <c r="D206" i="1"/>
  <c r="E146" i="1"/>
  <c r="F147" i="1"/>
  <c r="D146" i="1"/>
  <c r="F87" i="1"/>
  <c r="E86" i="1"/>
  <c r="D86" i="1"/>
  <c r="E27" i="1"/>
  <c r="D27" i="1"/>
  <c r="F28" i="1"/>
  <c r="F387" i="1" l="1"/>
  <c r="E386" i="1"/>
  <c r="D386" i="1"/>
  <c r="E507" i="1"/>
  <c r="D507" i="1"/>
  <c r="F508" i="1"/>
  <c r="E447" i="1"/>
  <c r="D447" i="1"/>
  <c r="F448" i="1"/>
  <c r="E327" i="1"/>
  <c r="D327" i="1"/>
  <c r="F328" i="1"/>
  <c r="E207" i="1"/>
  <c r="D207" i="1"/>
  <c r="F208" i="1"/>
  <c r="E267" i="1"/>
  <c r="D267" i="1"/>
  <c r="F268" i="1"/>
  <c r="E147" i="1"/>
  <c r="D147" i="1"/>
  <c r="F148" i="1"/>
  <c r="E87" i="1"/>
  <c r="D87" i="1"/>
  <c r="F88" i="1"/>
  <c r="E28" i="1"/>
  <c r="D28" i="1"/>
  <c r="F29" i="1"/>
  <c r="E508" i="1" l="1"/>
  <c r="D508" i="1"/>
  <c r="F509" i="1"/>
  <c r="D448" i="1"/>
  <c r="F449" i="1"/>
  <c r="E448" i="1"/>
  <c r="E387" i="1"/>
  <c r="D387" i="1"/>
  <c r="F388" i="1"/>
  <c r="D268" i="1"/>
  <c r="F269" i="1"/>
  <c r="E268" i="1"/>
  <c r="E328" i="1"/>
  <c r="D328" i="1"/>
  <c r="F329" i="1"/>
  <c r="F209" i="1"/>
  <c r="E208" i="1"/>
  <c r="D208" i="1"/>
  <c r="E148" i="1"/>
  <c r="F149" i="1"/>
  <c r="D148" i="1"/>
  <c r="E88" i="1"/>
  <c r="D88" i="1"/>
  <c r="F89" i="1"/>
  <c r="E29" i="1"/>
  <c r="D29" i="1"/>
  <c r="F30" i="1"/>
  <c r="F389" i="1" l="1"/>
  <c r="D388" i="1"/>
  <c r="E388" i="1"/>
  <c r="F510" i="1"/>
  <c r="E509" i="1"/>
  <c r="D509" i="1"/>
  <c r="D449" i="1"/>
  <c r="F450" i="1"/>
  <c r="E449" i="1"/>
  <c r="F330" i="1"/>
  <c r="E329" i="1"/>
  <c r="D329" i="1"/>
  <c r="F210" i="1"/>
  <c r="D209" i="1"/>
  <c r="E209" i="1"/>
  <c r="E269" i="1"/>
  <c r="F270" i="1"/>
  <c r="D269" i="1"/>
  <c r="F150" i="1"/>
  <c r="E149" i="1"/>
  <c r="D149" i="1"/>
  <c r="F90" i="1"/>
  <c r="E89" i="1"/>
  <c r="D89" i="1"/>
  <c r="E30" i="1"/>
  <c r="D30" i="1"/>
  <c r="F31" i="1"/>
  <c r="F451" i="1" l="1"/>
  <c r="D450" i="1"/>
  <c r="E450" i="1"/>
  <c r="F511" i="1"/>
  <c r="E510" i="1"/>
  <c r="D510" i="1"/>
  <c r="E389" i="1"/>
  <c r="D389" i="1"/>
  <c r="F390" i="1"/>
  <c r="F211" i="1"/>
  <c r="E210" i="1"/>
  <c r="D210" i="1"/>
  <c r="D270" i="1"/>
  <c r="F271" i="1"/>
  <c r="E270" i="1"/>
  <c r="D330" i="1"/>
  <c r="E330" i="1"/>
  <c r="F331" i="1"/>
  <c r="D150" i="1"/>
  <c r="F151" i="1"/>
  <c r="E150" i="1"/>
  <c r="F91" i="1"/>
  <c r="D90" i="1"/>
  <c r="E90" i="1"/>
  <c r="D31" i="1"/>
  <c r="F32" i="1"/>
  <c r="E31" i="1"/>
  <c r="F391" i="1" l="1"/>
  <c r="D390" i="1"/>
  <c r="E390" i="1"/>
  <c r="F512" i="1"/>
  <c r="E511" i="1"/>
  <c r="D511" i="1"/>
  <c r="F452" i="1"/>
  <c r="E451" i="1"/>
  <c r="D451" i="1"/>
  <c r="F332" i="1"/>
  <c r="E331" i="1"/>
  <c r="D331" i="1"/>
  <c r="F272" i="1"/>
  <c r="E271" i="1"/>
  <c r="D271" i="1"/>
  <c r="F212" i="1"/>
  <c r="E211" i="1"/>
  <c r="D211" i="1"/>
  <c r="F152" i="1"/>
  <c r="E151" i="1"/>
  <c r="D151" i="1"/>
  <c r="F92" i="1"/>
  <c r="E91" i="1"/>
  <c r="D91" i="1"/>
  <c r="F33" i="1"/>
  <c r="E32" i="1"/>
  <c r="D32" i="1"/>
  <c r="F453" i="1" l="1"/>
  <c r="E452" i="1"/>
  <c r="D452" i="1"/>
  <c r="F513" i="1"/>
  <c r="E512" i="1"/>
  <c r="D512" i="1"/>
  <c r="F392" i="1"/>
  <c r="E391" i="1"/>
  <c r="D391" i="1"/>
  <c r="F273" i="1"/>
  <c r="E272" i="1"/>
  <c r="D272" i="1"/>
  <c r="F213" i="1"/>
  <c r="E212" i="1"/>
  <c r="D212" i="1"/>
  <c r="F333" i="1"/>
  <c r="E332" i="1"/>
  <c r="D332" i="1"/>
  <c r="F153" i="1"/>
  <c r="E152" i="1"/>
  <c r="D152" i="1"/>
  <c r="F93" i="1"/>
  <c r="E92" i="1"/>
  <c r="D92" i="1"/>
  <c r="F34" i="1"/>
  <c r="E33" i="1"/>
  <c r="D33" i="1"/>
  <c r="F393" i="1" l="1"/>
  <c r="E392" i="1"/>
  <c r="D392" i="1"/>
  <c r="F514" i="1"/>
  <c r="E513" i="1"/>
  <c r="D513" i="1"/>
  <c r="F454" i="1"/>
  <c r="E453" i="1"/>
  <c r="D453" i="1"/>
  <c r="F334" i="1"/>
  <c r="E333" i="1"/>
  <c r="D333" i="1"/>
  <c r="E213" i="1"/>
  <c r="D213" i="1"/>
  <c r="F214" i="1"/>
  <c r="F274" i="1"/>
  <c r="E273" i="1"/>
  <c r="D273" i="1"/>
  <c r="D153" i="1"/>
  <c r="F154" i="1"/>
  <c r="E153" i="1"/>
  <c r="E93" i="1"/>
  <c r="F94" i="1"/>
  <c r="D93" i="1"/>
  <c r="F35" i="1"/>
  <c r="E34" i="1"/>
  <c r="D34" i="1"/>
  <c r="E514" i="1" l="1"/>
  <c r="D514" i="1"/>
  <c r="F515" i="1"/>
  <c r="E454" i="1"/>
  <c r="D454" i="1"/>
  <c r="F455" i="1"/>
  <c r="E393" i="1"/>
  <c r="D393" i="1"/>
  <c r="F394" i="1"/>
  <c r="E214" i="1"/>
  <c r="F215" i="1"/>
  <c r="D214" i="1"/>
  <c r="E274" i="1"/>
  <c r="D274" i="1"/>
  <c r="F275" i="1"/>
  <c r="E334" i="1"/>
  <c r="D334" i="1"/>
  <c r="F335" i="1"/>
  <c r="E154" i="1"/>
  <c r="D154" i="1"/>
  <c r="F155" i="1"/>
  <c r="E94" i="1"/>
  <c r="D94" i="1"/>
  <c r="F95" i="1"/>
  <c r="F36" i="1"/>
  <c r="E35" i="1"/>
  <c r="D35" i="1"/>
  <c r="D515" i="1" l="1"/>
  <c r="F516" i="1"/>
  <c r="E515" i="1"/>
  <c r="E394" i="1"/>
  <c r="D394" i="1"/>
  <c r="F395" i="1"/>
  <c r="F456" i="1"/>
  <c r="D455" i="1"/>
  <c r="E455" i="1"/>
  <c r="D335" i="1"/>
  <c r="F336" i="1"/>
  <c r="E335" i="1"/>
  <c r="F276" i="1"/>
  <c r="E275" i="1"/>
  <c r="D275" i="1"/>
  <c r="F216" i="1"/>
  <c r="E215" i="1"/>
  <c r="D215" i="1"/>
  <c r="D155" i="1"/>
  <c r="F156" i="1"/>
  <c r="E155" i="1"/>
  <c r="D95" i="1"/>
  <c r="F96" i="1"/>
  <c r="E95" i="1"/>
  <c r="E36" i="1"/>
  <c r="D36" i="1"/>
  <c r="F37" i="1"/>
  <c r="F396" i="1" l="1"/>
  <c r="E395" i="1"/>
  <c r="D395" i="1"/>
  <c r="E456" i="1"/>
  <c r="F457" i="1"/>
  <c r="D456" i="1"/>
  <c r="F517" i="1"/>
  <c r="E516" i="1"/>
  <c r="D516" i="1"/>
  <c r="E216" i="1"/>
  <c r="F217" i="1"/>
  <c r="D216" i="1"/>
  <c r="F277" i="1"/>
  <c r="E276" i="1"/>
  <c r="D276" i="1"/>
  <c r="E336" i="1"/>
  <c r="F337" i="1"/>
  <c r="D336" i="1"/>
  <c r="F157" i="1"/>
  <c r="E156" i="1"/>
  <c r="D156" i="1"/>
  <c r="E96" i="1"/>
  <c r="F97" i="1"/>
  <c r="D96" i="1"/>
  <c r="E37" i="1"/>
  <c r="D37" i="1"/>
  <c r="F38" i="1"/>
  <c r="F518" i="1" l="1"/>
  <c r="E517" i="1"/>
  <c r="D517" i="1"/>
  <c r="F458" i="1"/>
  <c r="E457" i="1"/>
  <c r="D457" i="1"/>
  <c r="E396" i="1"/>
  <c r="F397" i="1"/>
  <c r="D396" i="1"/>
  <c r="D337" i="1"/>
  <c r="F338" i="1"/>
  <c r="E337" i="1"/>
  <c r="F278" i="1"/>
  <c r="E277" i="1"/>
  <c r="D277" i="1"/>
  <c r="F218" i="1"/>
  <c r="E217" i="1"/>
  <c r="D217" i="1"/>
  <c r="D157" i="1"/>
  <c r="F158" i="1"/>
  <c r="E157" i="1"/>
  <c r="F98" i="1"/>
  <c r="E97" i="1"/>
  <c r="D97" i="1"/>
  <c r="E38" i="1"/>
  <c r="D38" i="1"/>
  <c r="F39" i="1"/>
  <c r="F398" i="1" l="1"/>
  <c r="E397" i="1"/>
  <c r="D397" i="1"/>
  <c r="F459" i="1"/>
  <c r="E458" i="1"/>
  <c r="D458" i="1"/>
  <c r="F519" i="1"/>
  <c r="E518" i="1"/>
  <c r="D518" i="1"/>
  <c r="F219" i="1"/>
  <c r="E218" i="1"/>
  <c r="D218" i="1"/>
  <c r="F279" i="1"/>
  <c r="E278" i="1"/>
  <c r="D278" i="1"/>
  <c r="F339" i="1"/>
  <c r="E338" i="1"/>
  <c r="D338" i="1"/>
  <c r="F159" i="1"/>
  <c r="E158" i="1"/>
  <c r="D158" i="1"/>
  <c r="F99" i="1"/>
  <c r="E98" i="1"/>
  <c r="D98" i="1"/>
  <c r="E39" i="1"/>
  <c r="D39" i="1"/>
  <c r="F40" i="1"/>
  <c r="F460" i="1" l="1"/>
  <c r="E459" i="1"/>
  <c r="D459" i="1"/>
  <c r="F520" i="1"/>
  <c r="E519" i="1"/>
  <c r="D519" i="1"/>
  <c r="F399" i="1"/>
  <c r="E398" i="1"/>
  <c r="D398" i="1"/>
  <c r="F340" i="1"/>
  <c r="E339" i="1"/>
  <c r="D339" i="1"/>
  <c r="F280" i="1"/>
  <c r="E279" i="1"/>
  <c r="D279" i="1"/>
  <c r="F220" i="1"/>
  <c r="E219" i="1"/>
  <c r="D219" i="1"/>
  <c r="F160" i="1"/>
  <c r="E159" i="1"/>
  <c r="D159" i="1"/>
  <c r="F100" i="1"/>
  <c r="E99" i="1"/>
  <c r="D99" i="1"/>
  <c r="E40" i="1"/>
  <c r="D40" i="1"/>
  <c r="F41" i="1"/>
  <c r="F400" i="1" l="1"/>
  <c r="E399" i="1"/>
  <c r="D399" i="1"/>
  <c r="F521" i="1"/>
  <c r="E520" i="1"/>
  <c r="D520" i="1"/>
  <c r="E460" i="1"/>
  <c r="D460" i="1"/>
  <c r="F461" i="1"/>
  <c r="E220" i="1"/>
  <c r="D220" i="1"/>
  <c r="F221" i="1"/>
  <c r="E280" i="1"/>
  <c r="D280" i="1"/>
  <c r="F281" i="1"/>
  <c r="F341" i="1"/>
  <c r="E340" i="1"/>
  <c r="D340" i="1"/>
  <c r="F161" i="1"/>
  <c r="D160" i="1"/>
  <c r="E160" i="1"/>
  <c r="F101" i="1"/>
  <c r="D100" i="1"/>
  <c r="E100" i="1"/>
  <c r="D41" i="1"/>
  <c r="F42" i="1"/>
  <c r="E41" i="1"/>
  <c r="E521" i="1" l="1"/>
  <c r="D521" i="1"/>
  <c r="F522" i="1"/>
  <c r="E461" i="1"/>
  <c r="D461" i="1"/>
  <c r="F462" i="1"/>
  <c r="E400" i="1"/>
  <c r="D400" i="1"/>
  <c r="F401" i="1"/>
  <c r="D221" i="1"/>
  <c r="F222" i="1"/>
  <c r="E221" i="1"/>
  <c r="E281" i="1"/>
  <c r="D281" i="1"/>
  <c r="F282" i="1"/>
  <c r="E341" i="1"/>
  <c r="D341" i="1"/>
  <c r="F342" i="1"/>
  <c r="E161" i="1"/>
  <c r="D161" i="1"/>
  <c r="F162" i="1"/>
  <c r="E101" i="1"/>
  <c r="D101" i="1"/>
  <c r="F102" i="1"/>
  <c r="E42" i="1"/>
  <c r="F43" i="1"/>
  <c r="D42" i="1"/>
  <c r="D401" i="1" l="1"/>
  <c r="F402" i="1"/>
  <c r="E401" i="1"/>
  <c r="D522" i="1"/>
  <c r="F523" i="1"/>
  <c r="E522" i="1"/>
  <c r="E462" i="1"/>
  <c r="D462" i="1"/>
  <c r="F463" i="1"/>
  <c r="F343" i="1"/>
  <c r="E342" i="1"/>
  <c r="D342" i="1"/>
  <c r="F283" i="1"/>
  <c r="E282" i="1"/>
  <c r="D282" i="1"/>
  <c r="E222" i="1"/>
  <c r="F223" i="1"/>
  <c r="D222" i="1"/>
  <c r="F163" i="1"/>
  <c r="E162" i="1"/>
  <c r="D162" i="1"/>
  <c r="F103" i="1"/>
  <c r="E102" i="1"/>
  <c r="D102" i="1"/>
  <c r="F44" i="1"/>
  <c r="E43" i="1"/>
  <c r="D43" i="1"/>
  <c r="D463" i="1" l="1"/>
  <c r="F464" i="1"/>
  <c r="E463" i="1"/>
  <c r="F524" i="1"/>
  <c r="E523" i="1"/>
  <c r="D523" i="1"/>
  <c r="E402" i="1"/>
  <c r="F403" i="1"/>
  <c r="D402" i="1"/>
  <c r="E283" i="1"/>
  <c r="F284" i="1"/>
  <c r="D283" i="1"/>
  <c r="F224" i="1"/>
  <c r="D223" i="1"/>
  <c r="E223" i="1"/>
  <c r="E343" i="1"/>
  <c r="D343" i="1"/>
  <c r="F344" i="1"/>
  <c r="D163" i="1"/>
  <c r="F164" i="1"/>
  <c r="E163" i="1"/>
  <c r="D103" i="1"/>
  <c r="F104" i="1"/>
  <c r="E103" i="1"/>
  <c r="F45" i="1"/>
  <c r="E44" i="1"/>
  <c r="D44" i="1"/>
  <c r="E403" i="1" l="1"/>
  <c r="D403" i="1"/>
  <c r="F404" i="1"/>
  <c r="F465" i="1"/>
  <c r="E464" i="1"/>
  <c r="D464" i="1"/>
  <c r="F525" i="1"/>
  <c r="E524" i="1"/>
  <c r="D524" i="1"/>
  <c r="F345" i="1"/>
  <c r="E344" i="1"/>
  <c r="D344" i="1"/>
  <c r="F225" i="1"/>
  <c r="E224" i="1"/>
  <c r="D224" i="1"/>
  <c r="F285" i="1"/>
  <c r="E284" i="1"/>
  <c r="D284" i="1"/>
  <c r="F165" i="1"/>
  <c r="E164" i="1"/>
  <c r="D164" i="1"/>
  <c r="F105" i="1"/>
  <c r="E104" i="1"/>
  <c r="D104" i="1"/>
  <c r="F46" i="1"/>
  <c r="E45" i="1"/>
  <c r="D45" i="1"/>
  <c r="F466" i="1" l="1"/>
  <c r="E465" i="1"/>
  <c r="D465" i="1"/>
  <c r="F405" i="1"/>
  <c r="E404" i="1"/>
  <c r="D404" i="1"/>
  <c r="F526" i="1"/>
  <c r="E525" i="1"/>
  <c r="D525" i="1"/>
  <c r="F286" i="1"/>
  <c r="E285" i="1"/>
  <c r="D285" i="1"/>
  <c r="F226" i="1"/>
  <c r="E225" i="1"/>
  <c r="D225" i="1"/>
  <c r="F346" i="1"/>
  <c r="E345" i="1"/>
  <c r="D345" i="1"/>
  <c r="F166" i="1"/>
  <c r="E165" i="1"/>
  <c r="D165" i="1"/>
  <c r="F106" i="1"/>
  <c r="D105" i="1"/>
  <c r="E105" i="1"/>
  <c r="E46" i="1"/>
  <c r="F47" i="1"/>
  <c r="D46" i="1"/>
  <c r="F406" i="1" l="1"/>
  <c r="E405" i="1"/>
  <c r="D405" i="1"/>
  <c r="F527" i="1"/>
  <c r="E526" i="1"/>
  <c r="D526" i="1"/>
  <c r="F467" i="1"/>
  <c r="E466" i="1"/>
  <c r="D466" i="1"/>
  <c r="F227" i="1"/>
  <c r="E226" i="1"/>
  <c r="D226" i="1"/>
  <c r="F347" i="1"/>
  <c r="E346" i="1"/>
  <c r="D346" i="1"/>
  <c r="F287" i="1"/>
  <c r="E286" i="1"/>
  <c r="D286" i="1"/>
  <c r="F167" i="1"/>
  <c r="E166" i="1"/>
  <c r="D166" i="1"/>
  <c r="F107" i="1"/>
  <c r="E106" i="1"/>
  <c r="D106" i="1"/>
  <c r="E47" i="1"/>
  <c r="D47" i="1"/>
  <c r="F48" i="1"/>
  <c r="F468" i="1" l="1"/>
  <c r="E467" i="1"/>
  <c r="D467" i="1"/>
  <c r="E527" i="1"/>
  <c r="D527" i="1"/>
  <c r="F528" i="1"/>
  <c r="F407" i="1"/>
  <c r="E406" i="1"/>
  <c r="D406" i="1"/>
  <c r="E287" i="1"/>
  <c r="D287" i="1"/>
  <c r="F288" i="1"/>
  <c r="E347" i="1"/>
  <c r="D347" i="1"/>
  <c r="F348" i="1"/>
  <c r="E227" i="1"/>
  <c r="D227" i="1"/>
  <c r="F228" i="1"/>
  <c r="E167" i="1"/>
  <c r="D167" i="1"/>
  <c r="F168" i="1"/>
  <c r="E107" i="1"/>
  <c r="D107" i="1"/>
  <c r="F108" i="1"/>
  <c r="E48" i="1"/>
  <c r="D48" i="1"/>
  <c r="F49" i="1"/>
  <c r="F50" i="1" s="1"/>
  <c r="F408" i="1" l="1"/>
  <c r="E407" i="1"/>
  <c r="D407" i="1"/>
  <c r="E528" i="1"/>
  <c r="D528" i="1"/>
  <c r="F529" i="1"/>
  <c r="D468" i="1"/>
  <c r="F469" i="1"/>
  <c r="E468" i="1"/>
  <c r="F229" i="1"/>
  <c r="E228" i="1"/>
  <c r="D228" i="1"/>
  <c r="E348" i="1"/>
  <c r="D348" i="1"/>
  <c r="F349" i="1"/>
  <c r="D288" i="1"/>
  <c r="F289" i="1"/>
  <c r="E288" i="1"/>
  <c r="F51" i="1"/>
  <c r="E50" i="1"/>
  <c r="D50" i="1"/>
  <c r="E168" i="1"/>
  <c r="D168" i="1"/>
  <c r="F169" i="1"/>
  <c r="E108" i="1"/>
  <c r="D108" i="1"/>
  <c r="F109" i="1"/>
  <c r="E49" i="1"/>
  <c r="D49" i="1"/>
  <c r="F530" i="1" l="1"/>
  <c r="E529" i="1"/>
  <c r="D529" i="1"/>
  <c r="F470" i="1"/>
  <c r="D469" i="1"/>
  <c r="E469" i="1"/>
  <c r="D408" i="1"/>
  <c r="F409" i="1"/>
  <c r="E408" i="1"/>
  <c r="F290" i="1"/>
  <c r="E289" i="1"/>
  <c r="D289" i="1"/>
  <c r="F350" i="1"/>
  <c r="E349" i="1"/>
  <c r="D349" i="1"/>
  <c r="E229" i="1"/>
  <c r="D229" i="1"/>
  <c r="F230" i="1"/>
  <c r="E51" i="1"/>
  <c r="F52" i="1"/>
  <c r="D51" i="1"/>
  <c r="F170" i="1"/>
  <c r="E169" i="1"/>
  <c r="D169" i="1"/>
  <c r="F110" i="1"/>
  <c r="E109" i="1"/>
  <c r="D109" i="1"/>
  <c r="F471" i="1" l="1"/>
  <c r="E470" i="1"/>
  <c r="D470" i="1"/>
  <c r="D409" i="1"/>
  <c r="E409" i="1"/>
  <c r="F410" i="1"/>
  <c r="F531" i="1"/>
  <c r="E530" i="1"/>
  <c r="D530" i="1"/>
  <c r="F231" i="1"/>
  <c r="E230" i="1"/>
  <c r="D230" i="1"/>
  <c r="D350" i="1"/>
  <c r="F351" i="1"/>
  <c r="E350" i="1"/>
  <c r="F291" i="1"/>
  <c r="D290" i="1"/>
  <c r="E290" i="1"/>
  <c r="E52" i="1"/>
  <c r="F53" i="1"/>
  <c r="D52" i="1"/>
  <c r="D170" i="1"/>
  <c r="F171" i="1"/>
  <c r="E170" i="1"/>
  <c r="F111" i="1"/>
  <c r="D110" i="1"/>
  <c r="E110" i="1"/>
  <c r="F532" i="1" l="1"/>
  <c r="E531" i="1"/>
  <c r="D531" i="1"/>
  <c r="F411" i="1"/>
  <c r="E410" i="1"/>
  <c r="D410" i="1"/>
  <c r="F472" i="1"/>
  <c r="E471" i="1"/>
  <c r="D471" i="1"/>
  <c r="F292" i="1"/>
  <c r="E291" i="1"/>
  <c r="D291" i="1"/>
  <c r="F352" i="1"/>
  <c r="E351" i="1"/>
  <c r="D351" i="1"/>
  <c r="F232" i="1"/>
  <c r="E231" i="1"/>
  <c r="D231" i="1"/>
  <c r="D53" i="1"/>
  <c r="F54" i="1"/>
  <c r="E53" i="1"/>
  <c r="F172" i="1"/>
  <c r="E171" i="1"/>
  <c r="D171" i="1"/>
  <c r="F112" i="1"/>
  <c r="E111" i="1"/>
  <c r="D111" i="1"/>
  <c r="F473" i="1" l="1"/>
  <c r="E472" i="1"/>
  <c r="D472" i="1"/>
  <c r="F412" i="1"/>
  <c r="E411" i="1"/>
  <c r="D411" i="1"/>
  <c r="F533" i="1"/>
  <c r="E532" i="1"/>
  <c r="D532" i="1"/>
  <c r="F233" i="1"/>
  <c r="E232" i="1"/>
  <c r="D232" i="1"/>
  <c r="F353" i="1"/>
  <c r="E352" i="1"/>
  <c r="D352" i="1"/>
  <c r="F293" i="1"/>
  <c r="E292" i="1"/>
  <c r="D292" i="1"/>
  <c r="E54" i="1"/>
  <c r="D54" i="1"/>
  <c r="F55" i="1"/>
  <c r="F173" i="1"/>
  <c r="E172" i="1"/>
  <c r="D172" i="1"/>
  <c r="F113" i="1"/>
  <c r="E112" i="1"/>
  <c r="D112" i="1"/>
  <c r="F413" i="1" l="1"/>
  <c r="E412" i="1"/>
  <c r="D412" i="1"/>
  <c r="F534" i="1"/>
  <c r="E533" i="1"/>
  <c r="D533" i="1"/>
  <c r="F474" i="1"/>
  <c r="E473" i="1"/>
  <c r="D473" i="1"/>
  <c r="F354" i="1"/>
  <c r="E353" i="1"/>
  <c r="D353" i="1"/>
  <c r="F294" i="1"/>
  <c r="E293" i="1"/>
  <c r="D293" i="1"/>
  <c r="E233" i="1"/>
  <c r="D233" i="1"/>
  <c r="F234" i="1"/>
  <c r="E55" i="1"/>
  <c r="D55" i="1"/>
  <c r="F56" i="1"/>
  <c r="F174" i="1"/>
  <c r="E173" i="1"/>
  <c r="D173" i="1"/>
  <c r="F114" i="1"/>
  <c r="E113" i="1"/>
  <c r="D113" i="1"/>
  <c r="E534" i="1" l="1"/>
  <c r="D534" i="1"/>
  <c r="F535" i="1"/>
  <c r="E474" i="1"/>
  <c r="D474" i="1"/>
  <c r="F475" i="1"/>
  <c r="E413" i="1"/>
  <c r="D413" i="1"/>
  <c r="F414" i="1"/>
  <c r="E234" i="1"/>
  <c r="D234" i="1"/>
  <c r="F235" i="1"/>
  <c r="E294" i="1"/>
  <c r="D294" i="1"/>
  <c r="F295" i="1"/>
  <c r="E354" i="1"/>
  <c r="D354" i="1"/>
  <c r="F355" i="1"/>
  <c r="F57" i="1"/>
  <c r="E56" i="1"/>
  <c r="D56" i="1"/>
  <c r="E174" i="1"/>
  <c r="D174" i="1"/>
  <c r="F175" i="1"/>
  <c r="E114" i="1"/>
  <c r="D114" i="1"/>
  <c r="F115" i="1"/>
  <c r="D535" i="1" l="1"/>
  <c r="E535" i="1"/>
  <c r="F536" i="1"/>
  <c r="E414" i="1"/>
  <c r="D414" i="1"/>
  <c r="F415" i="1"/>
  <c r="D475" i="1"/>
  <c r="E475" i="1"/>
  <c r="F476" i="1"/>
  <c r="D355" i="1"/>
  <c r="F356" i="1"/>
  <c r="E355" i="1"/>
  <c r="F236" i="1"/>
  <c r="E235" i="1"/>
  <c r="D235" i="1"/>
  <c r="F296" i="1"/>
  <c r="E295" i="1"/>
  <c r="D295" i="1"/>
  <c r="F58" i="1"/>
  <c r="D57" i="1"/>
  <c r="E57" i="1"/>
  <c r="D175" i="1"/>
  <c r="F176" i="1"/>
  <c r="E175" i="1"/>
  <c r="D115" i="1"/>
  <c r="F116" i="1"/>
  <c r="E115" i="1"/>
  <c r="F477" i="1" l="1"/>
  <c r="E476" i="1"/>
  <c r="D476" i="1"/>
  <c r="F537" i="1"/>
  <c r="E536" i="1"/>
  <c r="D536" i="1"/>
  <c r="F416" i="1"/>
  <c r="D415" i="1"/>
  <c r="E415" i="1"/>
  <c r="D296" i="1"/>
  <c r="F297" i="1"/>
  <c r="E296" i="1"/>
  <c r="E236" i="1"/>
  <c r="F237" i="1"/>
  <c r="D236" i="1"/>
  <c r="F357" i="1"/>
  <c r="D356" i="1"/>
  <c r="E356" i="1"/>
  <c r="F59" i="1"/>
  <c r="D58" i="1"/>
  <c r="E58" i="1"/>
  <c r="E176" i="1"/>
  <c r="F177" i="1"/>
  <c r="D176" i="1"/>
  <c r="E116" i="1"/>
  <c r="F117" i="1"/>
  <c r="D116" i="1"/>
  <c r="F538" i="1" l="1"/>
  <c r="E537" i="1"/>
  <c r="D537" i="1"/>
  <c r="D416" i="1"/>
  <c r="F417" i="1"/>
  <c r="E416" i="1"/>
  <c r="F478" i="1"/>
  <c r="E477" i="1"/>
  <c r="D477" i="1"/>
  <c r="D357" i="1"/>
  <c r="F358" i="1"/>
  <c r="E357" i="1"/>
  <c r="F238" i="1"/>
  <c r="E237" i="1"/>
  <c r="D237" i="1"/>
  <c r="F298" i="1"/>
  <c r="E297" i="1"/>
  <c r="D297" i="1"/>
  <c r="F60" i="1"/>
  <c r="E59" i="1"/>
  <c r="D59" i="1"/>
  <c r="F178" i="1"/>
  <c r="D177" i="1"/>
  <c r="E177" i="1"/>
  <c r="F118" i="1"/>
  <c r="E117" i="1"/>
  <c r="D117" i="1"/>
  <c r="F418" i="1" l="1"/>
  <c r="E417" i="1"/>
  <c r="D417" i="1"/>
  <c r="F479" i="1"/>
  <c r="E478" i="1"/>
  <c r="D478" i="1"/>
  <c r="F539" i="1"/>
  <c r="E538" i="1"/>
  <c r="D538" i="1"/>
  <c r="F299" i="1"/>
  <c r="E298" i="1"/>
  <c r="D298" i="1"/>
  <c r="F239" i="1"/>
  <c r="E238" i="1"/>
  <c r="D238" i="1"/>
  <c r="F359" i="1"/>
  <c r="E358" i="1"/>
  <c r="D358" i="1"/>
  <c r="E60" i="1"/>
  <c r="D60" i="1"/>
  <c r="F61" i="1"/>
  <c r="F179" i="1"/>
  <c r="E178" i="1"/>
  <c r="D178" i="1"/>
  <c r="F119" i="1"/>
  <c r="E118" i="1"/>
  <c r="D118" i="1"/>
  <c r="F540" i="1" l="1"/>
  <c r="E539" i="1"/>
  <c r="D539" i="1"/>
  <c r="F480" i="1"/>
  <c r="E479" i="1"/>
  <c r="D479" i="1"/>
  <c r="F419" i="1"/>
  <c r="E418" i="1"/>
  <c r="D418" i="1"/>
  <c r="F240" i="1"/>
  <c r="E239" i="1"/>
  <c r="D239" i="1"/>
  <c r="F360" i="1"/>
  <c r="E359" i="1"/>
  <c r="D359" i="1"/>
  <c r="F300" i="1"/>
  <c r="E299" i="1"/>
  <c r="D299" i="1"/>
  <c r="E61" i="1"/>
  <c r="D61" i="1"/>
  <c r="F180" i="1"/>
  <c r="E179" i="1"/>
  <c r="D179" i="1"/>
  <c r="F120" i="1"/>
  <c r="E119" i="1"/>
  <c r="D119" i="1"/>
  <c r="F420" i="1" l="1"/>
  <c r="E419" i="1"/>
  <c r="D419" i="1"/>
  <c r="F481" i="1"/>
  <c r="E480" i="1"/>
  <c r="D480" i="1"/>
  <c r="F541" i="1"/>
  <c r="E540" i="1"/>
  <c r="D540" i="1"/>
  <c r="F361" i="1"/>
  <c r="E360" i="1"/>
  <c r="D360" i="1"/>
  <c r="E300" i="1"/>
  <c r="D300" i="1"/>
  <c r="F301" i="1"/>
  <c r="E240" i="1"/>
  <c r="D240" i="1"/>
  <c r="F241" i="1"/>
  <c r="F181" i="1"/>
  <c r="D180" i="1"/>
  <c r="E180" i="1"/>
  <c r="F121" i="1"/>
  <c r="E120" i="1"/>
  <c r="D120" i="1"/>
  <c r="E541" i="1" l="1"/>
  <c r="D541" i="1"/>
  <c r="E481" i="1"/>
  <c r="D481" i="1"/>
  <c r="E420" i="1"/>
  <c r="D420" i="1"/>
  <c r="F421" i="1"/>
  <c r="D241" i="1"/>
  <c r="E241" i="1"/>
  <c r="E301" i="1"/>
  <c r="D301" i="1"/>
  <c r="E361" i="1"/>
  <c r="D361" i="1"/>
  <c r="E181" i="1"/>
  <c r="D181" i="1"/>
  <c r="E121" i="1"/>
  <c r="D121" i="1"/>
  <c r="D421" i="1" l="1"/>
  <c r="E421" i="1"/>
</calcChain>
</file>

<file path=xl/sharedStrings.xml><?xml version="1.0" encoding="utf-8"?>
<sst xmlns="http://schemas.openxmlformats.org/spreadsheetml/2006/main" count="2319" uniqueCount="41">
  <si>
    <t>date</t>
  </si>
  <si>
    <t>actual_contacts</t>
  </si>
  <si>
    <t>forecasted_contacts</t>
  </si>
  <si>
    <t>actual_aht</t>
  </si>
  <si>
    <t>forecasted_aht</t>
  </si>
  <si>
    <t>Voice</t>
  </si>
  <si>
    <t>Chat</t>
  </si>
  <si>
    <t>model_name</t>
  </si>
  <si>
    <t>metric_type</t>
  </si>
  <si>
    <t>mape</t>
  </si>
  <si>
    <t>rmse</t>
  </si>
  <si>
    <t>mae</t>
  </si>
  <si>
    <t>smape</t>
  </si>
  <si>
    <t>r2</t>
  </si>
  <si>
    <t>bias</t>
  </si>
  <si>
    <t>forecast_accuracy</t>
  </si>
  <si>
    <t>weighted_mape</t>
  </si>
  <si>
    <t>ARIMA</t>
  </si>
  <si>
    <t>contacts</t>
  </si>
  <si>
    <t>SARIMA</t>
  </si>
  <si>
    <t>Holt-Winters</t>
  </si>
  <si>
    <t>Linear Regression</t>
  </si>
  <si>
    <t>XGBoost</t>
  </si>
  <si>
    <t>Random Forest</t>
  </si>
  <si>
    <t>Prophet</t>
  </si>
  <si>
    <t>Ensemble (Weighted)</t>
  </si>
  <si>
    <t>aht</t>
  </si>
  <si>
    <t>month</t>
  </si>
  <si>
    <t>capacity_plan</t>
  </si>
  <si>
    <t>Customer Service</t>
  </si>
  <si>
    <t>Month</t>
  </si>
  <si>
    <t>Year</t>
  </si>
  <si>
    <t>Credit</t>
  </si>
  <si>
    <t>Collections</t>
  </si>
  <si>
    <t>volume_stream</t>
  </si>
  <si>
    <t>year</t>
  </si>
  <si>
    <t>frequency</t>
  </si>
  <si>
    <t>monthly</t>
  </si>
  <si>
    <t>forecast_horizon</t>
  </si>
  <si>
    <t>start_date</t>
  </si>
  <si>
    <t>forecast_id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</si>
</sst>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93"/>
  <sheetViews>
    <sheetView tabSelected="1" workbookViewId="0"/>
  </sheetViews>
  <sheetFormatPr defaultRowHeight="15.75" x14ac:dyDescent="0.25"/>
  <cols>
    <col min="1" max="1" width="15" bestFit="1" customWidth="1"/>
    <col min="2" max="2" width="15" customWidth="1"/>
    <col min="3" max="3" width="14.125" style="2" customWidth="1"/>
    <col min="4" max="5" width="15" style="2" customWidth="1"/>
    <col min="6" max="7" width="17.75" style="2" customWidth="1"/>
    <col min="8" max="8" width="13.875" style="2" bestFit="1" customWidth="1"/>
    <col min="9" max="9" width="17.625" style="2" bestFit="1" customWidth="1"/>
    <col min="10" max="10" width="9.5" style="2" bestFit="1" customWidth="1"/>
    <col min="11" max="11" width="13.25" style="2" bestFit="1" customWidth="1"/>
  </cols>
  <sheetData>
    <row r="1" spans="1:11" x14ac:dyDescent="0.25">
      <c r="A1" t="s">
        <v>28</v>
      </c>
      <c r="B1" t="s">
        <v>7</v>
      </c>
      <c r="C1" s="2" t="s">
        <v>34</v>
      </c>
      <c r="D1" s="2" t="s">
        <v>31</v>
      </c>
      <c r="E1" s="2" t="s">
        <v>30</v>
      </c>
      <c r="F1" s="2" t="s">
        <v>0</v>
      </c>
      <c r="G1" s="2" t="s">
        <v>36</v>
      </c>
      <c r="H1" s="2" t="s">
        <v>1</v>
      </c>
      <c r="I1" s="2" t="s">
        <v>2</v>
      </c>
      <c r="J1" s="2" t="s">
        <v>3</v>
      </c>
      <c r="K1" s="2" t="s">
        <v>4</v>
      </c>
    </row>
    <row r="2" spans="1:11" x14ac:dyDescent="0.25">
      <c r="A2" t="s">
        <v>29</v>
      </c>
      <c r="B2" t="s">
        <v>19</v>
      </c>
      <c r="C2" s="2" t="s">
        <v>5</v>
      </c>
      <c r="D2" s="2">
        <f>YEAR(F2)</f>
        <v>2023</v>
      </c>
      <c r="E2" s="2" t="str">
        <f>TEXT(F2,"mmm")</f>
        <v>Jan</v>
      </c>
      <c r="F2" s="3">
        <v>44927</v>
      </c>
      <c r="G2" s="3" t="s">
        <v>37</v>
      </c>
      <c r="H2" s="2">
        <v>60</v>
      </c>
      <c r="I2" s="2">
        <v>58</v>
      </c>
      <c r="J2" s="2">
        <v>183</v>
      </c>
      <c r="K2" s="2">
        <v>176</v>
      </c>
    </row>
    <row r="3" spans="1:11" x14ac:dyDescent="0.25">
      <c r="A3" t="s">
        <v>29</v>
      </c>
      <c r="B3" t="s">
        <v>19</v>
      </c>
      <c r="C3" s="2" t="s">
        <v>5</v>
      </c>
      <c r="D3" s="2">
        <f t="shared" ref="D3:D49" si="0">YEAR(F3)</f>
        <v>2023</v>
      </c>
      <c r="E3" s="2" t="str">
        <f t="shared" ref="E3:E66" si="1">TEXT(F3,"mmm")</f>
        <v>Feb</v>
      </c>
      <c r="F3" s="3">
        <f>EOMONTH(F2,0)+1</f>
        <v>44958</v>
      </c>
      <c r="G3" s="3" t="s">
        <v>37</v>
      </c>
      <c r="H3" s="2">
        <v>69</v>
      </c>
      <c r="I3" s="2">
        <v>66</v>
      </c>
      <c r="J3" s="2">
        <v>281</v>
      </c>
      <c r="K3" s="2">
        <v>277</v>
      </c>
    </row>
    <row r="4" spans="1:11" x14ac:dyDescent="0.25">
      <c r="A4" t="s">
        <v>29</v>
      </c>
      <c r="B4" t="s">
        <v>19</v>
      </c>
      <c r="C4" s="2" t="s">
        <v>5</v>
      </c>
      <c r="D4" s="2">
        <f t="shared" si="0"/>
        <v>2023</v>
      </c>
      <c r="E4" s="2" t="str">
        <f t="shared" si="1"/>
        <v>Mar</v>
      </c>
      <c r="F4" s="3">
        <f t="shared" ref="F4:F49" si="2">EOMONTH(F3,0)+1</f>
        <v>44986</v>
      </c>
      <c r="G4" s="3" t="s">
        <v>37</v>
      </c>
      <c r="H4" s="2">
        <v>42</v>
      </c>
      <c r="I4" s="2">
        <v>43</v>
      </c>
      <c r="J4" s="2">
        <v>280</v>
      </c>
      <c r="K4" s="2">
        <v>294</v>
      </c>
    </row>
    <row r="5" spans="1:11" x14ac:dyDescent="0.25">
      <c r="A5" t="s">
        <v>29</v>
      </c>
      <c r="B5" t="s">
        <v>19</v>
      </c>
      <c r="C5" s="2" t="s">
        <v>5</v>
      </c>
      <c r="D5" s="2">
        <f t="shared" si="0"/>
        <v>2023</v>
      </c>
      <c r="E5" s="2" t="str">
        <f t="shared" si="1"/>
        <v>Apr</v>
      </c>
      <c r="F5" s="3">
        <f t="shared" si="2"/>
        <v>45017</v>
      </c>
      <c r="G5" s="3" t="s">
        <v>37</v>
      </c>
      <c r="H5" s="2">
        <v>59</v>
      </c>
      <c r="I5" s="2">
        <v>61</v>
      </c>
      <c r="J5" s="2">
        <v>232</v>
      </c>
      <c r="K5" s="2">
        <v>230</v>
      </c>
    </row>
    <row r="6" spans="1:11" x14ac:dyDescent="0.25">
      <c r="A6" t="s">
        <v>29</v>
      </c>
      <c r="B6" t="s">
        <v>19</v>
      </c>
      <c r="C6" s="2" t="s">
        <v>5</v>
      </c>
      <c r="D6" s="2">
        <f t="shared" si="0"/>
        <v>2023</v>
      </c>
      <c r="E6" s="2" t="str">
        <f t="shared" si="1"/>
        <v>May</v>
      </c>
      <c r="F6" s="3">
        <f t="shared" si="2"/>
        <v>45047</v>
      </c>
      <c r="G6" s="3" t="s">
        <v>37</v>
      </c>
      <c r="H6" s="2">
        <v>84</v>
      </c>
      <c r="I6" s="2">
        <v>84</v>
      </c>
      <c r="J6" s="2">
        <v>203</v>
      </c>
      <c r="K6" s="2">
        <v>198</v>
      </c>
    </row>
    <row r="7" spans="1:11" x14ac:dyDescent="0.25">
      <c r="A7" t="s">
        <v>29</v>
      </c>
      <c r="B7" t="s">
        <v>19</v>
      </c>
      <c r="C7" s="2" t="s">
        <v>5</v>
      </c>
      <c r="D7" s="2">
        <f t="shared" si="0"/>
        <v>2023</v>
      </c>
      <c r="E7" s="2" t="str">
        <f t="shared" si="1"/>
        <v>Jun</v>
      </c>
      <c r="F7" s="3">
        <f t="shared" si="2"/>
        <v>45078</v>
      </c>
      <c r="G7" s="3" t="s">
        <v>37</v>
      </c>
      <c r="H7" s="2">
        <v>93</v>
      </c>
      <c r="I7" s="2">
        <v>101</v>
      </c>
      <c r="J7" s="2">
        <v>276</v>
      </c>
      <c r="K7" s="2">
        <v>287</v>
      </c>
    </row>
    <row r="8" spans="1:11" x14ac:dyDescent="0.25">
      <c r="A8" t="s">
        <v>29</v>
      </c>
      <c r="B8" t="s">
        <v>19</v>
      </c>
      <c r="C8" s="2" t="s">
        <v>5</v>
      </c>
      <c r="D8" s="2">
        <f t="shared" si="0"/>
        <v>2023</v>
      </c>
      <c r="E8" s="2" t="str">
        <f t="shared" si="1"/>
        <v>Jul</v>
      </c>
      <c r="F8" s="3">
        <f t="shared" si="2"/>
        <v>45108</v>
      </c>
      <c r="G8" s="3" t="s">
        <v>37</v>
      </c>
      <c r="H8" s="2">
        <v>93</v>
      </c>
      <c r="I8" s="2">
        <v>94</v>
      </c>
      <c r="J8" s="2">
        <v>214</v>
      </c>
      <c r="K8" s="2">
        <v>229</v>
      </c>
    </row>
    <row r="9" spans="1:11" x14ac:dyDescent="0.25">
      <c r="A9" t="s">
        <v>29</v>
      </c>
      <c r="B9" t="s">
        <v>19</v>
      </c>
      <c r="C9" s="2" t="s">
        <v>5</v>
      </c>
      <c r="D9" s="2">
        <f t="shared" si="0"/>
        <v>2023</v>
      </c>
      <c r="E9" s="2" t="str">
        <f t="shared" si="1"/>
        <v>Aug</v>
      </c>
      <c r="F9" s="3">
        <f t="shared" si="2"/>
        <v>45139</v>
      </c>
      <c r="G9" s="3" t="s">
        <v>37</v>
      </c>
      <c r="H9" s="2">
        <v>94</v>
      </c>
      <c r="I9" s="2">
        <v>96</v>
      </c>
      <c r="J9" s="2">
        <v>298</v>
      </c>
      <c r="K9" s="2">
        <v>302</v>
      </c>
    </row>
    <row r="10" spans="1:11" x14ac:dyDescent="0.25">
      <c r="A10" t="s">
        <v>29</v>
      </c>
      <c r="B10" t="s">
        <v>19</v>
      </c>
      <c r="C10" s="2" t="s">
        <v>5</v>
      </c>
      <c r="D10" s="2">
        <f t="shared" si="0"/>
        <v>2023</v>
      </c>
      <c r="E10" s="2" t="str">
        <f t="shared" si="1"/>
        <v>Sep</v>
      </c>
      <c r="F10" s="3">
        <f t="shared" si="2"/>
        <v>45170</v>
      </c>
      <c r="G10" s="3" t="s">
        <v>37</v>
      </c>
      <c r="H10" s="2">
        <v>95</v>
      </c>
      <c r="I10" s="2">
        <v>95</v>
      </c>
      <c r="J10" s="2">
        <v>292</v>
      </c>
      <c r="K10" s="2">
        <v>273</v>
      </c>
    </row>
    <row r="11" spans="1:11" x14ac:dyDescent="0.25">
      <c r="A11" t="s">
        <v>29</v>
      </c>
      <c r="B11" t="s">
        <v>19</v>
      </c>
      <c r="C11" s="2" t="s">
        <v>5</v>
      </c>
      <c r="D11" s="2">
        <f t="shared" si="0"/>
        <v>2023</v>
      </c>
      <c r="E11" s="2" t="str">
        <f t="shared" si="1"/>
        <v>Oct</v>
      </c>
      <c r="F11" s="3">
        <f t="shared" si="2"/>
        <v>45200</v>
      </c>
      <c r="G11" s="3" t="s">
        <v>37</v>
      </c>
      <c r="H11" s="2">
        <v>102</v>
      </c>
      <c r="I11" s="2">
        <v>94</v>
      </c>
      <c r="J11" s="2">
        <v>239</v>
      </c>
      <c r="K11" s="2">
        <v>228</v>
      </c>
    </row>
    <row r="12" spans="1:11" x14ac:dyDescent="0.25">
      <c r="A12" t="s">
        <v>29</v>
      </c>
      <c r="B12" t="s">
        <v>19</v>
      </c>
      <c r="C12" s="2" t="s">
        <v>5</v>
      </c>
      <c r="D12" s="2">
        <f t="shared" si="0"/>
        <v>2023</v>
      </c>
      <c r="E12" s="2" t="str">
        <f t="shared" si="1"/>
        <v>Nov</v>
      </c>
      <c r="F12" s="3">
        <f t="shared" si="2"/>
        <v>45231</v>
      </c>
      <c r="G12" s="3" t="s">
        <v>37</v>
      </c>
      <c r="H12" s="2">
        <v>61</v>
      </c>
      <c r="I12" s="2">
        <v>60</v>
      </c>
      <c r="J12" s="2">
        <v>238</v>
      </c>
      <c r="K12" s="2">
        <v>231</v>
      </c>
    </row>
    <row r="13" spans="1:11" x14ac:dyDescent="0.25">
      <c r="A13" t="s">
        <v>29</v>
      </c>
      <c r="B13" t="s">
        <v>19</v>
      </c>
      <c r="C13" s="2" t="s">
        <v>5</v>
      </c>
      <c r="D13" s="2">
        <f t="shared" si="0"/>
        <v>2023</v>
      </c>
      <c r="E13" s="2" t="str">
        <f t="shared" si="1"/>
        <v>Dec</v>
      </c>
      <c r="F13" s="3">
        <f t="shared" si="2"/>
        <v>45261</v>
      </c>
      <c r="G13" s="3" t="s">
        <v>37</v>
      </c>
      <c r="H13" s="2">
        <v>105</v>
      </c>
      <c r="I13" s="2">
        <v>95</v>
      </c>
      <c r="J13" s="2">
        <v>277</v>
      </c>
      <c r="K13" s="2">
        <v>274</v>
      </c>
    </row>
    <row r="14" spans="1:11" x14ac:dyDescent="0.25">
      <c r="A14" t="s">
        <v>29</v>
      </c>
      <c r="B14" t="s">
        <v>19</v>
      </c>
      <c r="C14" s="2" t="s">
        <v>5</v>
      </c>
      <c r="D14" s="2">
        <f t="shared" si="0"/>
        <v>2024</v>
      </c>
      <c r="E14" s="2" t="str">
        <f t="shared" si="1"/>
        <v>Jan</v>
      </c>
      <c r="F14" s="3">
        <f t="shared" si="2"/>
        <v>45292</v>
      </c>
      <c r="G14" s="3" t="s">
        <v>37</v>
      </c>
      <c r="H14" s="2">
        <v>68</v>
      </c>
      <c r="I14" s="2">
        <v>67</v>
      </c>
      <c r="J14" s="2">
        <v>197</v>
      </c>
      <c r="K14" s="2">
        <v>199</v>
      </c>
    </row>
    <row r="15" spans="1:11" x14ac:dyDescent="0.25">
      <c r="A15" t="s">
        <v>29</v>
      </c>
      <c r="B15" t="s">
        <v>19</v>
      </c>
      <c r="C15" s="2" t="s">
        <v>5</v>
      </c>
      <c r="D15" s="2">
        <f t="shared" si="0"/>
        <v>2024</v>
      </c>
      <c r="E15" s="2" t="str">
        <f t="shared" si="1"/>
        <v>Feb</v>
      </c>
      <c r="F15" s="3">
        <f t="shared" si="2"/>
        <v>45323</v>
      </c>
      <c r="G15" s="3" t="s">
        <v>37</v>
      </c>
      <c r="H15" s="2">
        <v>65</v>
      </c>
      <c r="I15" s="2">
        <v>66</v>
      </c>
      <c r="J15" s="2">
        <v>262</v>
      </c>
      <c r="K15" s="2">
        <v>267</v>
      </c>
    </row>
    <row r="16" spans="1:11" x14ac:dyDescent="0.25">
      <c r="A16" t="s">
        <v>29</v>
      </c>
      <c r="B16" t="s">
        <v>19</v>
      </c>
      <c r="C16" s="2" t="s">
        <v>5</v>
      </c>
      <c r="D16" s="2">
        <f t="shared" si="0"/>
        <v>2024</v>
      </c>
      <c r="E16" s="2" t="str">
        <f t="shared" si="1"/>
        <v>Mar</v>
      </c>
      <c r="F16" s="3">
        <f t="shared" si="2"/>
        <v>45352</v>
      </c>
      <c r="G16" s="3" t="s">
        <v>37</v>
      </c>
      <c r="H16" s="2">
        <v>53</v>
      </c>
      <c r="I16" s="2">
        <v>54</v>
      </c>
      <c r="J16" s="2">
        <v>293</v>
      </c>
      <c r="K16" s="2">
        <v>288</v>
      </c>
    </row>
    <row r="17" spans="1:11" x14ac:dyDescent="0.25">
      <c r="A17" t="s">
        <v>29</v>
      </c>
      <c r="B17" t="s">
        <v>19</v>
      </c>
      <c r="C17" s="2" t="s">
        <v>5</v>
      </c>
      <c r="D17" s="2">
        <f t="shared" si="0"/>
        <v>2024</v>
      </c>
      <c r="E17" s="2" t="str">
        <f t="shared" si="1"/>
        <v>Apr</v>
      </c>
      <c r="F17" s="3">
        <f t="shared" si="2"/>
        <v>45383</v>
      </c>
      <c r="G17" s="3" t="s">
        <v>37</v>
      </c>
      <c r="H17" s="2">
        <v>50</v>
      </c>
      <c r="I17" s="2">
        <v>50</v>
      </c>
      <c r="J17" s="2">
        <v>280</v>
      </c>
      <c r="K17" s="2">
        <v>300</v>
      </c>
    </row>
    <row r="18" spans="1:11" x14ac:dyDescent="0.25">
      <c r="A18" t="s">
        <v>29</v>
      </c>
      <c r="B18" t="s">
        <v>19</v>
      </c>
      <c r="C18" s="2" t="s">
        <v>5</v>
      </c>
      <c r="D18" s="2">
        <f t="shared" si="0"/>
        <v>2024</v>
      </c>
      <c r="E18" s="2" t="str">
        <f t="shared" si="1"/>
        <v>May</v>
      </c>
      <c r="F18" s="3">
        <f t="shared" si="2"/>
        <v>45413</v>
      </c>
      <c r="G18" s="3" t="s">
        <v>37</v>
      </c>
      <c r="H18" s="2">
        <v>52</v>
      </c>
      <c r="I18" s="2">
        <v>48</v>
      </c>
      <c r="J18" s="2">
        <v>288</v>
      </c>
      <c r="K18" s="2">
        <v>271</v>
      </c>
    </row>
    <row r="19" spans="1:11" x14ac:dyDescent="0.25">
      <c r="A19" t="s">
        <v>29</v>
      </c>
      <c r="B19" t="s">
        <v>19</v>
      </c>
      <c r="C19" s="2" t="s">
        <v>5</v>
      </c>
      <c r="D19" s="2">
        <f t="shared" si="0"/>
        <v>2024</v>
      </c>
      <c r="E19" s="2" t="str">
        <f t="shared" si="1"/>
        <v>Jun</v>
      </c>
      <c r="F19" s="3">
        <f t="shared" si="2"/>
        <v>45444</v>
      </c>
      <c r="G19" s="3" t="s">
        <v>37</v>
      </c>
      <c r="H19" s="2">
        <v>51</v>
      </c>
      <c r="I19" s="2">
        <v>52</v>
      </c>
      <c r="J19" s="2">
        <v>290</v>
      </c>
      <c r="K19" s="2">
        <v>287</v>
      </c>
    </row>
    <row r="20" spans="1:11" x14ac:dyDescent="0.25">
      <c r="A20" t="s">
        <v>29</v>
      </c>
      <c r="B20" t="s">
        <v>19</v>
      </c>
      <c r="C20" s="2" t="s">
        <v>5</v>
      </c>
      <c r="D20" s="2">
        <f t="shared" si="0"/>
        <v>2024</v>
      </c>
      <c r="E20" s="2" t="str">
        <f t="shared" si="1"/>
        <v>Jul</v>
      </c>
      <c r="F20" s="3">
        <f t="shared" si="2"/>
        <v>45474</v>
      </c>
      <c r="G20" s="3" t="s">
        <v>37</v>
      </c>
      <c r="H20" s="2">
        <v>61</v>
      </c>
      <c r="I20" s="2">
        <v>60</v>
      </c>
      <c r="J20" s="2">
        <v>258</v>
      </c>
      <c r="K20" s="2">
        <v>245</v>
      </c>
    </row>
    <row r="21" spans="1:11" x14ac:dyDescent="0.25">
      <c r="A21" t="s">
        <v>29</v>
      </c>
      <c r="B21" t="s">
        <v>19</v>
      </c>
      <c r="C21" s="2" t="s">
        <v>5</v>
      </c>
      <c r="D21" s="2">
        <f t="shared" si="0"/>
        <v>2024</v>
      </c>
      <c r="E21" s="2" t="str">
        <f t="shared" si="1"/>
        <v>Aug</v>
      </c>
      <c r="F21" s="3">
        <f t="shared" si="2"/>
        <v>45505</v>
      </c>
      <c r="G21" s="3" t="s">
        <v>37</v>
      </c>
      <c r="H21" s="2">
        <v>48</v>
      </c>
      <c r="I21" s="2">
        <v>52</v>
      </c>
      <c r="J21" s="2">
        <v>192</v>
      </c>
      <c r="K21" s="2">
        <v>194</v>
      </c>
    </row>
    <row r="22" spans="1:11" x14ac:dyDescent="0.25">
      <c r="A22" t="s">
        <v>29</v>
      </c>
      <c r="B22" t="s">
        <v>19</v>
      </c>
      <c r="C22" s="2" t="s">
        <v>5</v>
      </c>
      <c r="D22" s="2">
        <f t="shared" si="0"/>
        <v>2024</v>
      </c>
      <c r="E22" s="2" t="str">
        <f t="shared" si="1"/>
        <v>Sep</v>
      </c>
      <c r="F22" s="3">
        <f t="shared" si="2"/>
        <v>45536</v>
      </c>
      <c r="G22" s="3" t="s">
        <v>37</v>
      </c>
      <c r="H22" s="2">
        <v>56</v>
      </c>
      <c r="I22" s="2">
        <v>54</v>
      </c>
      <c r="J22" s="2">
        <v>295</v>
      </c>
      <c r="K22" s="2">
        <v>310</v>
      </c>
    </row>
    <row r="23" spans="1:11" x14ac:dyDescent="0.25">
      <c r="A23" t="s">
        <v>29</v>
      </c>
      <c r="B23" t="s">
        <v>19</v>
      </c>
      <c r="C23" s="2" t="s">
        <v>5</v>
      </c>
      <c r="D23" s="2">
        <f t="shared" si="0"/>
        <v>2024</v>
      </c>
      <c r="E23" s="2" t="str">
        <f t="shared" si="1"/>
        <v>Oct</v>
      </c>
      <c r="F23" s="3">
        <f t="shared" si="2"/>
        <v>45566</v>
      </c>
      <c r="G23" s="3" t="s">
        <v>37</v>
      </c>
      <c r="H23" s="2">
        <v>49</v>
      </c>
      <c r="I23" s="2">
        <v>47</v>
      </c>
      <c r="J23" s="2">
        <v>293</v>
      </c>
      <c r="K23" s="2">
        <v>282</v>
      </c>
    </row>
    <row r="24" spans="1:11" x14ac:dyDescent="0.25">
      <c r="A24" t="s">
        <v>29</v>
      </c>
      <c r="B24" t="s">
        <v>19</v>
      </c>
      <c r="C24" s="2" t="s">
        <v>5</v>
      </c>
      <c r="D24" s="2">
        <f t="shared" si="0"/>
        <v>2024</v>
      </c>
      <c r="E24" s="2" t="str">
        <f t="shared" si="1"/>
        <v>Nov</v>
      </c>
      <c r="F24" s="3">
        <f t="shared" si="2"/>
        <v>45597</v>
      </c>
      <c r="G24" s="3" t="s">
        <v>37</v>
      </c>
      <c r="H24" s="2">
        <v>42</v>
      </c>
      <c r="I24" s="2">
        <v>42</v>
      </c>
      <c r="J24" s="2">
        <v>202</v>
      </c>
      <c r="K24" s="2">
        <v>196</v>
      </c>
    </row>
    <row r="25" spans="1:11" x14ac:dyDescent="0.25">
      <c r="A25" t="s">
        <v>29</v>
      </c>
      <c r="B25" t="s">
        <v>19</v>
      </c>
      <c r="C25" s="2" t="s">
        <v>5</v>
      </c>
      <c r="D25" s="2">
        <f t="shared" si="0"/>
        <v>2024</v>
      </c>
      <c r="E25" s="2" t="str">
        <f t="shared" si="1"/>
        <v>Dec</v>
      </c>
      <c r="F25" s="3">
        <f t="shared" si="2"/>
        <v>45627</v>
      </c>
      <c r="G25" s="3" t="s">
        <v>37</v>
      </c>
      <c r="H25" s="2">
        <v>60</v>
      </c>
      <c r="I25" s="2">
        <v>64</v>
      </c>
      <c r="J25" s="2">
        <v>289</v>
      </c>
      <c r="K25" s="2">
        <v>273</v>
      </c>
    </row>
    <row r="26" spans="1:11" x14ac:dyDescent="0.25">
      <c r="A26" t="s">
        <v>29</v>
      </c>
      <c r="B26" t="s">
        <v>19</v>
      </c>
      <c r="C26" s="2" t="s">
        <v>6</v>
      </c>
      <c r="D26" s="2">
        <f t="shared" si="0"/>
        <v>2025</v>
      </c>
      <c r="E26" s="2" t="str">
        <f t="shared" si="1"/>
        <v>Jan</v>
      </c>
      <c r="F26" s="3">
        <f t="shared" si="2"/>
        <v>45658</v>
      </c>
      <c r="G26" s="3" t="s">
        <v>37</v>
      </c>
      <c r="H26" s="2">
        <v>62</v>
      </c>
      <c r="I26" s="2">
        <v>59</v>
      </c>
      <c r="J26" s="2">
        <v>298</v>
      </c>
      <c r="K26" s="2">
        <v>281</v>
      </c>
    </row>
    <row r="27" spans="1:11" x14ac:dyDescent="0.25">
      <c r="A27" t="s">
        <v>29</v>
      </c>
      <c r="B27" t="s">
        <v>19</v>
      </c>
      <c r="C27" s="2" t="s">
        <v>6</v>
      </c>
      <c r="D27" s="2">
        <f t="shared" si="0"/>
        <v>2025</v>
      </c>
      <c r="E27" s="2" t="str">
        <f t="shared" si="1"/>
        <v>Feb</v>
      </c>
      <c r="F27" s="3">
        <f t="shared" si="2"/>
        <v>45689</v>
      </c>
      <c r="G27" s="3" t="s">
        <v>37</v>
      </c>
      <c r="H27" s="2">
        <v>50</v>
      </c>
      <c r="I27" s="2">
        <v>47</v>
      </c>
      <c r="J27" s="2">
        <v>257</v>
      </c>
      <c r="K27" s="2">
        <v>276</v>
      </c>
    </row>
    <row r="28" spans="1:11" x14ac:dyDescent="0.25">
      <c r="A28" t="s">
        <v>29</v>
      </c>
      <c r="B28" t="s">
        <v>19</v>
      </c>
      <c r="C28" s="2" t="s">
        <v>6</v>
      </c>
      <c r="D28" s="2">
        <f t="shared" si="0"/>
        <v>2025</v>
      </c>
      <c r="E28" s="2" t="str">
        <f t="shared" si="1"/>
        <v>Mar</v>
      </c>
      <c r="F28" s="3">
        <f t="shared" si="2"/>
        <v>45717</v>
      </c>
      <c r="G28" s="3" t="s">
        <v>37</v>
      </c>
      <c r="H28" s="2">
        <v>59</v>
      </c>
      <c r="I28" s="2">
        <v>60</v>
      </c>
      <c r="J28" s="2">
        <v>259</v>
      </c>
      <c r="K28" s="2">
        <v>254</v>
      </c>
    </row>
    <row r="29" spans="1:11" x14ac:dyDescent="0.25">
      <c r="A29" t="s">
        <v>29</v>
      </c>
      <c r="B29" t="s">
        <v>19</v>
      </c>
      <c r="C29" s="2" t="s">
        <v>6</v>
      </c>
      <c r="D29" s="2">
        <f t="shared" si="0"/>
        <v>2025</v>
      </c>
      <c r="E29" s="2" t="str">
        <f t="shared" si="1"/>
        <v>Apr</v>
      </c>
      <c r="F29" s="3">
        <f t="shared" si="2"/>
        <v>45748</v>
      </c>
      <c r="G29" s="3" t="s">
        <v>37</v>
      </c>
      <c r="H29" s="2">
        <v>65</v>
      </c>
      <c r="I29" s="2">
        <v>71</v>
      </c>
      <c r="J29" s="2">
        <v>240</v>
      </c>
      <c r="K29" s="2">
        <v>240</v>
      </c>
    </row>
    <row r="30" spans="1:11" x14ac:dyDescent="0.25">
      <c r="A30" t="s">
        <v>29</v>
      </c>
      <c r="B30" t="s">
        <v>19</v>
      </c>
      <c r="C30" s="2" t="s">
        <v>6</v>
      </c>
      <c r="D30" s="2">
        <f t="shared" si="0"/>
        <v>2025</v>
      </c>
      <c r="E30" s="2" t="str">
        <f t="shared" si="1"/>
        <v>May</v>
      </c>
      <c r="F30" s="3">
        <f t="shared" si="2"/>
        <v>45778</v>
      </c>
      <c r="G30" s="3" t="s">
        <v>37</v>
      </c>
      <c r="H30" s="2">
        <v>84</v>
      </c>
      <c r="I30" s="2">
        <v>78</v>
      </c>
      <c r="J30" s="2">
        <v>258</v>
      </c>
      <c r="K30" s="2">
        <v>279</v>
      </c>
    </row>
    <row r="31" spans="1:11" x14ac:dyDescent="0.25">
      <c r="A31" t="s">
        <v>29</v>
      </c>
      <c r="B31" t="s">
        <v>19</v>
      </c>
      <c r="C31" s="2" t="s">
        <v>6</v>
      </c>
      <c r="D31" s="2">
        <f t="shared" si="0"/>
        <v>2025</v>
      </c>
      <c r="E31" s="2" t="str">
        <f t="shared" si="1"/>
        <v>Jun</v>
      </c>
      <c r="F31" s="3">
        <f t="shared" si="2"/>
        <v>45809</v>
      </c>
      <c r="G31" s="3" t="s">
        <v>37</v>
      </c>
      <c r="H31" s="2">
        <v>104</v>
      </c>
      <c r="I31" s="2">
        <v>105</v>
      </c>
      <c r="J31" s="2">
        <v>258</v>
      </c>
      <c r="K31" s="2">
        <v>277</v>
      </c>
    </row>
    <row r="32" spans="1:11" x14ac:dyDescent="0.25">
      <c r="A32" t="s">
        <v>29</v>
      </c>
      <c r="B32" t="s">
        <v>19</v>
      </c>
      <c r="C32" s="2" t="s">
        <v>6</v>
      </c>
      <c r="D32" s="2">
        <f t="shared" si="0"/>
        <v>2025</v>
      </c>
      <c r="E32" s="2" t="str">
        <f t="shared" si="1"/>
        <v>Jul</v>
      </c>
      <c r="F32" s="3">
        <f t="shared" si="2"/>
        <v>45839</v>
      </c>
      <c r="G32" s="3" t="s">
        <v>37</v>
      </c>
      <c r="H32" s="2">
        <v>65</v>
      </c>
      <c r="I32" s="2">
        <v>59</v>
      </c>
      <c r="J32" s="2">
        <v>226</v>
      </c>
      <c r="K32" s="2">
        <v>222</v>
      </c>
    </row>
    <row r="33" spans="1:11" x14ac:dyDescent="0.25">
      <c r="A33" t="s">
        <v>29</v>
      </c>
      <c r="B33" t="s">
        <v>19</v>
      </c>
      <c r="C33" s="2" t="s">
        <v>6</v>
      </c>
      <c r="D33" s="2">
        <f t="shared" si="0"/>
        <v>2025</v>
      </c>
      <c r="E33" s="2" t="str">
        <f t="shared" si="1"/>
        <v>Aug</v>
      </c>
      <c r="F33" s="3">
        <f t="shared" si="2"/>
        <v>45870</v>
      </c>
      <c r="G33" s="3" t="s">
        <v>37</v>
      </c>
      <c r="H33" s="2">
        <v>90</v>
      </c>
      <c r="I33" s="2">
        <v>93</v>
      </c>
      <c r="J33" s="2">
        <v>287</v>
      </c>
      <c r="K33" s="2">
        <v>271</v>
      </c>
    </row>
    <row r="34" spans="1:11" x14ac:dyDescent="0.25">
      <c r="A34" t="s">
        <v>29</v>
      </c>
      <c r="B34" t="s">
        <v>19</v>
      </c>
      <c r="C34" s="2" t="s">
        <v>6</v>
      </c>
      <c r="D34" s="2">
        <f t="shared" si="0"/>
        <v>2025</v>
      </c>
      <c r="E34" s="2" t="str">
        <f t="shared" si="1"/>
        <v>Sep</v>
      </c>
      <c r="F34" s="3">
        <f t="shared" si="2"/>
        <v>45901</v>
      </c>
      <c r="G34" s="3" t="s">
        <v>37</v>
      </c>
      <c r="H34" s="2">
        <v>96</v>
      </c>
      <c r="I34" s="2">
        <v>100</v>
      </c>
      <c r="J34" s="2">
        <v>186</v>
      </c>
      <c r="K34" s="2">
        <v>179</v>
      </c>
    </row>
    <row r="35" spans="1:11" x14ac:dyDescent="0.25">
      <c r="A35" t="s">
        <v>29</v>
      </c>
      <c r="B35" t="s">
        <v>19</v>
      </c>
      <c r="C35" s="2" t="s">
        <v>6</v>
      </c>
      <c r="D35" s="2">
        <f t="shared" si="0"/>
        <v>2025</v>
      </c>
      <c r="E35" s="2" t="str">
        <f t="shared" si="1"/>
        <v>Oct</v>
      </c>
      <c r="F35" s="3">
        <f t="shared" si="2"/>
        <v>45931</v>
      </c>
      <c r="G35" s="3" t="s">
        <v>37</v>
      </c>
      <c r="H35" s="2">
        <v>67</v>
      </c>
      <c r="I35" s="2">
        <v>63</v>
      </c>
      <c r="J35" s="2">
        <v>200</v>
      </c>
      <c r="K35" s="2">
        <v>206</v>
      </c>
    </row>
    <row r="36" spans="1:11" x14ac:dyDescent="0.25">
      <c r="A36" t="s">
        <v>29</v>
      </c>
      <c r="B36" t="s">
        <v>19</v>
      </c>
      <c r="C36" s="2" t="s">
        <v>6</v>
      </c>
      <c r="D36" s="2">
        <f t="shared" si="0"/>
        <v>2025</v>
      </c>
      <c r="E36" s="2" t="str">
        <f t="shared" si="1"/>
        <v>Nov</v>
      </c>
      <c r="F36" s="3">
        <f t="shared" si="2"/>
        <v>45962</v>
      </c>
      <c r="G36" s="3" t="s">
        <v>37</v>
      </c>
      <c r="H36" s="2">
        <v>72</v>
      </c>
      <c r="I36" s="2">
        <v>68</v>
      </c>
      <c r="J36" s="2">
        <v>240</v>
      </c>
      <c r="K36" s="2">
        <v>257</v>
      </c>
    </row>
    <row r="37" spans="1:11" x14ac:dyDescent="0.25">
      <c r="A37" t="s">
        <v>29</v>
      </c>
      <c r="B37" t="s">
        <v>19</v>
      </c>
      <c r="C37" s="2" t="s">
        <v>6</v>
      </c>
      <c r="D37" s="2">
        <f t="shared" si="0"/>
        <v>2025</v>
      </c>
      <c r="E37" s="2" t="str">
        <f t="shared" si="1"/>
        <v>Dec</v>
      </c>
      <c r="F37" s="3">
        <f t="shared" si="2"/>
        <v>45992</v>
      </c>
      <c r="G37" s="3" t="s">
        <v>37</v>
      </c>
      <c r="H37" s="2">
        <v>92</v>
      </c>
      <c r="I37" s="2">
        <v>94</v>
      </c>
      <c r="J37" s="2">
        <v>184</v>
      </c>
      <c r="K37" s="2">
        <v>177</v>
      </c>
    </row>
    <row r="38" spans="1:11" x14ac:dyDescent="0.25">
      <c r="A38" t="s">
        <v>29</v>
      </c>
      <c r="B38" t="s">
        <v>19</v>
      </c>
      <c r="C38" s="2" t="s">
        <v>6</v>
      </c>
      <c r="D38" s="2">
        <f t="shared" si="0"/>
        <v>2026</v>
      </c>
      <c r="E38" s="2" t="str">
        <f t="shared" si="1"/>
        <v>Jan</v>
      </c>
      <c r="F38" s="3">
        <f t="shared" si="2"/>
        <v>46023</v>
      </c>
      <c r="G38" s="3" t="s">
        <v>37</v>
      </c>
      <c r="H38" s="2">
        <v>96</v>
      </c>
      <c r="I38" s="2">
        <v>101</v>
      </c>
      <c r="J38" s="2">
        <v>272</v>
      </c>
      <c r="K38" s="2">
        <v>270</v>
      </c>
    </row>
    <row r="39" spans="1:11" x14ac:dyDescent="0.25">
      <c r="A39" t="s">
        <v>29</v>
      </c>
      <c r="B39" t="s">
        <v>19</v>
      </c>
      <c r="C39" s="2" t="s">
        <v>6</v>
      </c>
      <c r="D39" s="2">
        <f t="shared" si="0"/>
        <v>2026</v>
      </c>
      <c r="E39" s="2" t="str">
        <f t="shared" si="1"/>
        <v>Feb</v>
      </c>
      <c r="F39" s="3">
        <f t="shared" si="2"/>
        <v>46054</v>
      </c>
      <c r="G39" s="3" t="s">
        <v>37</v>
      </c>
      <c r="H39" s="2">
        <v>74</v>
      </c>
      <c r="I39" s="2">
        <v>78</v>
      </c>
      <c r="J39" s="2">
        <v>234</v>
      </c>
      <c r="K39" s="2">
        <v>232</v>
      </c>
    </row>
    <row r="40" spans="1:11" x14ac:dyDescent="0.25">
      <c r="A40" t="s">
        <v>29</v>
      </c>
      <c r="B40" t="s">
        <v>19</v>
      </c>
      <c r="C40" s="2" t="s">
        <v>6</v>
      </c>
      <c r="D40" s="2">
        <f t="shared" si="0"/>
        <v>2026</v>
      </c>
      <c r="E40" s="2" t="str">
        <f t="shared" si="1"/>
        <v>Mar</v>
      </c>
      <c r="F40" s="3">
        <f t="shared" si="2"/>
        <v>46082</v>
      </c>
      <c r="G40" s="3" t="s">
        <v>37</v>
      </c>
      <c r="H40" s="2">
        <v>56</v>
      </c>
      <c r="I40" s="2">
        <v>51</v>
      </c>
      <c r="J40" s="2">
        <v>253</v>
      </c>
      <c r="K40" s="2">
        <v>259</v>
      </c>
    </row>
    <row r="41" spans="1:11" x14ac:dyDescent="0.25">
      <c r="A41" t="s">
        <v>29</v>
      </c>
      <c r="B41" t="s">
        <v>19</v>
      </c>
      <c r="C41" s="2" t="s">
        <v>6</v>
      </c>
      <c r="D41" s="2">
        <f t="shared" si="0"/>
        <v>2026</v>
      </c>
      <c r="E41" s="2" t="str">
        <f t="shared" si="1"/>
        <v>Apr</v>
      </c>
      <c r="F41" s="3">
        <f t="shared" si="2"/>
        <v>46113</v>
      </c>
      <c r="G41" s="3" t="s">
        <v>37</v>
      </c>
      <c r="H41" s="2">
        <v>50</v>
      </c>
      <c r="I41" s="2">
        <v>45</v>
      </c>
      <c r="J41" s="2">
        <v>209</v>
      </c>
      <c r="K41" s="2">
        <v>221</v>
      </c>
    </row>
    <row r="42" spans="1:11" x14ac:dyDescent="0.25">
      <c r="A42" t="s">
        <v>29</v>
      </c>
      <c r="B42" t="s">
        <v>19</v>
      </c>
      <c r="C42" s="2" t="s">
        <v>6</v>
      </c>
      <c r="D42" s="2">
        <f t="shared" si="0"/>
        <v>2026</v>
      </c>
      <c r="E42" s="2" t="str">
        <f t="shared" si="1"/>
        <v>May</v>
      </c>
      <c r="F42" s="3">
        <f t="shared" si="2"/>
        <v>46143</v>
      </c>
      <c r="G42" s="3" t="s">
        <v>37</v>
      </c>
      <c r="H42" s="2">
        <v>52</v>
      </c>
      <c r="I42" s="2">
        <v>49</v>
      </c>
      <c r="J42" s="2">
        <v>181</v>
      </c>
      <c r="K42" s="2">
        <v>178</v>
      </c>
    </row>
    <row r="43" spans="1:11" x14ac:dyDescent="0.25">
      <c r="A43" t="s">
        <v>29</v>
      </c>
      <c r="B43" t="s">
        <v>19</v>
      </c>
      <c r="C43" s="2" t="s">
        <v>6</v>
      </c>
      <c r="D43" s="2">
        <f t="shared" si="0"/>
        <v>2026</v>
      </c>
      <c r="E43" s="2" t="str">
        <f t="shared" si="1"/>
        <v>Jun</v>
      </c>
      <c r="F43" s="3">
        <f t="shared" si="2"/>
        <v>46174</v>
      </c>
      <c r="G43" s="3" t="s">
        <v>37</v>
      </c>
      <c r="H43" s="2">
        <v>65</v>
      </c>
      <c r="I43" s="2">
        <v>68</v>
      </c>
      <c r="J43" s="2">
        <v>233</v>
      </c>
      <c r="K43" s="2">
        <v>230</v>
      </c>
    </row>
    <row r="44" spans="1:11" x14ac:dyDescent="0.25">
      <c r="A44" t="s">
        <v>29</v>
      </c>
      <c r="B44" t="s">
        <v>19</v>
      </c>
      <c r="C44" s="2" t="s">
        <v>6</v>
      </c>
      <c r="D44" s="2">
        <f t="shared" si="0"/>
        <v>2026</v>
      </c>
      <c r="E44" s="2" t="str">
        <f t="shared" si="1"/>
        <v>Jul</v>
      </c>
      <c r="F44" s="3">
        <f t="shared" si="2"/>
        <v>46204</v>
      </c>
      <c r="G44" s="3" t="s">
        <v>37</v>
      </c>
      <c r="H44" s="2">
        <v>59</v>
      </c>
      <c r="I44" s="2">
        <v>64</v>
      </c>
      <c r="J44" s="2">
        <v>253</v>
      </c>
      <c r="K44" s="2">
        <v>264</v>
      </c>
    </row>
    <row r="45" spans="1:11" x14ac:dyDescent="0.25">
      <c r="A45" t="s">
        <v>29</v>
      </c>
      <c r="B45" t="s">
        <v>19</v>
      </c>
      <c r="C45" s="2" t="s">
        <v>6</v>
      </c>
      <c r="D45" s="2">
        <f t="shared" si="0"/>
        <v>2026</v>
      </c>
      <c r="E45" s="2" t="str">
        <f t="shared" si="1"/>
        <v>Aug</v>
      </c>
      <c r="F45" s="3">
        <f t="shared" si="2"/>
        <v>46235</v>
      </c>
      <c r="G45" s="3" t="s">
        <v>37</v>
      </c>
      <c r="H45" s="2">
        <v>47</v>
      </c>
      <c r="I45" s="2">
        <v>42</v>
      </c>
      <c r="J45" s="2">
        <v>239</v>
      </c>
      <c r="K45" s="2">
        <v>257</v>
      </c>
    </row>
    <row r="46" spans="1:11" x14ac:dyDescent="0.25">
      <c r="A46" t="s">
        <v>29</v>
      </c>
      <c r="B46" t="s">
        <v>19</v>
      </c>
      <c r="C46" s="2" t="s">
        <v>6</v>
      </c>
      <c r="D46" s="2">
        <f t="shared" si="0"/>
        <v>2026</v>
      </c>
      <c r="E46" s="2" t="str">
        <f t="shared" si="1"/>
        <v>Sep</v>
      </c>
      <c r="F46" s="3">
        <f t="shared" si="2"/>
        <v>46266</v>
      </c>
      <c r="G46" s="3" t="s">
        <v>37</v>
      </c>
      <c r="H46" s="2">
        <v>50</v>
      </c>
      <c r="I46" s="2">
        <v>48</v>
      </c>
      <c r="J46" s="2">
        <v>195</v>
      </c>
      <c r="K46" s="2">
        <v>183</v>
      </c>
    </row>
    <row r="47" spans="1:11" x14ac:dyDescent="0.25">
      <c r="A47" t="s">
        <v>29</v>
      </c>
      <c r="B47" t="s">
        <v>19</v>
      </c>
      <c r="C47" s="2" t="s">
        <v>6</v>
      </c>
      <c r="D47" s="2">
        <f t="shared" si="0"/>
        <v>2026</v>
      </c>
      <c r="E47" s="2" t="str">
        <f t="shared" si="1"/>
        <v>Oct</v>
      </c>
      <c r="F47" s="3">
        <f t="shared" si="2"/>
        <v>46296</v>
      </c>
      <c r="G47" s="3" t="s">
        <v>37</v>
      </c>
      <c r="H47" s="2">
        <v>60</v>
      </c>
      <c r="I47" s="2">
        <v>65</v>
      </c>
      <c r="J47" s="2">
        <v>248</v>
      </c>
      <c r="K47" s="2">
        <v>259</v>
      </c>
    </row>
    <row r="48" spans="1:11" x14ac:dyDescent="0.25">
      <c r="A48" t="s">
        <v>29</v>
      </c>
      <c r="B48" t="s">
        <v>19</v>
      </c>
      <c r="C48" s="2" t="s">
        <v>6</v>
      </c>
      <c r="D48" s="2">
        <f t="shared" si="0"/>
        <v>2026</v>
      </c>
      <c r="E48" s="2" t="str">
        <f t="shared" si="1"/>
        <v>Nov</v>
      </c>
      <c r="F48" s="3">
        <f t="shared" si="2"/>
        <v>46327</v>
      </c>
      <c r="G48" s="3" t="s">
        <v>37</v>
      </c>
      <c r="H48" s="2">
        <v>62</v>
      </c>
      <c r="I48" s="2">
        <v>61</v>
      </c>
      <c r="J48" s="2">
        <v>273</v>
      </c>
      <c r="K48" s="2">
        <v>261</v>
      </c>
    </row>
    <row r="49" spans="1:11" x14ac:dyDescent="0.25">
      <c r="A49" t="s">
        <v>29</v>
      </c>
      <c r="B49" t="s">
        <v>19</v>
      </c>
      <c r="C49" s="2" t="s">
        <v>6</v>
      </c>
      <c r="D49" s="2">
        <f t="shared" si="0"/>
        <v>2026</v>
      </c>
      <c r="E49" s="2" t="str">
        <f t="shared" si="1"/>
        <v>Dec</v>
      </c>
      <c r="F49" s="3">
        <f t="shared" si="2"/>
        <v>46357</v>
      </c>
      <c r="G49" s="3" t="s">
        <v>37</v>
      </c>
      <c r="H49" s="2">
        <v>52</v>
      </c>
      <c r="I49" s="2">
        <v>57</v>
      </c>
      <c r="J49" s="2">
        <v>245</v>
      </c>
      <c r="K49" s="2">
        <v>230</v>
      </c>
    </row>
    <row r="50" spans="1:11" x14ac:dyDescent="0.25">
      <c r="A50" t="s">
        <v>29</v>
      </c>
      <c r="B50" t="s">
        <v>19</v>
      </c>
      <c r="C50" s="2" t="s">
        <v>6</v>
      </c>
      <c r="D50" s="2">
        <f t="shared" ref="D50:D61" si="3">YEAR(F50)</f>
        <v>2027</v>
      </c>
      <c r="E50" s="2" t="str">
        <f t="shared" si="1"/>
        <v>Jan</v>
      </c>
      <c r="F50" s="3">
        <f t="shared" ref="F50:F61" si="4">EOMONTH(F49,0)+1</f>
        <v>46388</v>
      </c>
      <c r="G50" s="3" t="s">
        <v>37</v>
      </c>
      <c r="H50" s="2">
        <v>96</v>
      </c>
      <c r="I50" s="2">
        <v>101</v>
      </c>
      <c r="J50" s="2">
        <v>272</v>
      </c>
      <c r="K50" s="2">
        <v>270</v>
      </c>
    </row>
    <row r="51" spans="1:11" x14ac:dyDescent="0.25">
      <c r="A51" t="s">
        <v>29</v>
      </c>
      <c r="B51" t="s">
        <v>19</v>
      </c>
      <c r="C51" s="2" t="s">
        <v>6</v>
      </c>
      <c r="D51" s="2">
        <f t="shared" si="3"/>
        <v>2027</v>
      </c>
      <c r="E51" s="2" t="str">
        <f t="shared" si="1"/>
        <v>Feb</v>
      </c>
      <c r="F51" s="3">
        <f t="shared" si="4"/>
        <v>46419</v>
      </c>
      <c r="G51" s="3" t="s">
        <v>37</v>
      </c>
      <c r="H51" s="2">
        <v>74</v>
      </c>
      <c r="I51" s="2">
        <v>78</v>
      </c>
      <c r="J51" s="2">
        <v>234</v>
      </c>
      <c r="K51" s="2">
        <v>232</v>
      </c>
    </row>
    <row r="52" spans="1:11" x14ac:dyDescent="0.25">
      <c r="A52" t="s">
        <v>29</v>
      </c>
      <c r="B52" t="s">
        <v>19</v>
      </c>
      <c r="C52" s="2" t="s">
        <v>6</v>
      </c>
      <c r="D52" s="2">
        <f t="shared" si="3"/>
        <v>2027</v>
      </c>
      <c r="E52" s="2" t="str">
        <f t="shared" si="1"/>
        <v>Mar</v>
      </c>
      <c r="F52" s="3">
        <f t="shared" si="4"/>
        <v>46447</v>
      </c>
      <c r="G52" s="3" t="s">
        <v>37</v>
      </c>
      <c r="H52" s="2">
        <v>56</v>
      </c>
      <c r="I52" s="2">
        <v>51</v>
      </c>
      <c r="J52" s="2">
        <v>253</v>
      </c>
      <c r="K52" s="2">
        <v>259</v>
      </c>
    </row>
    <row r="53" spans="1:11" x14ac:dyDescent="0.25">
      <c r="A53" t="s">
        <v>29</v>
      </c>
      <c r="B53" t="s">
        <v>19</v>
      </c>
      <c r="C53" s="2" t="s">
        <v>6</v>
      </c>
      <c r="D53" s="2">
        <f t="shared" si="3"/>
        <v>2027</v>
      </c>
      <c r="E53" s="2" t="str">
        <f t="shared" si="1"/>
        <v>Apr</v>
      </c>
      <c r="F53" s="3">
        <f t="shared" si="4"/>
        <v>46478</v>
      </c>
      <c r="G53" s="3" t="s">
        <v>37</v>
      </c>
      <c r="H53" s="2">
        <v>50</v>
      </c>
      <c r="I53" s="2">
        <v>45</v>
      </c>
      <c r="J53" s="2">
        <v>209</v>
      </c>
      <c r="K53" s="2">
        <v>221</v>
      </c>
    </row>
    <row r="54" spans="1:11" x14ac:dyDescent="0.25">
      <c r="A54" t="s">
        <v>29</v>
      </c>
      <c r="B54" t="s">
        <v>19</v>
      </c>
      <c r="C54" s="2" t="s">
        <v>6</v>
      </c>
      <c r="D54" s="2">
        <f t="shared" si="3"/>
        <v>2027</v>
      </c>
      <c r="E54" s="2" t="str">
        <f t="shared" si="1"/>
        <v>May</v>
      </c>
      <c r="F54" s="3">
        <f t="shared" si="4"/>
        <v>46508</v>
      </c>
      <c r="G54" s="3" t="s">
        <v>37</v>
      </c>
      <c r="H54" s="2">
        <v>52</v>
      </c>
      <c r="I54" s="2">
        <v>49</v>
      </c>
      <c r="J54" s="2">
        <v>181</v>
      </c>
      <c r="K54" s="2">
        <v>178</v>
      </c>
    </row>
    <row r="55" spans="1:11" x14ac:dyDescent="0.25">
      <c r="A55" t="s">
        <v>29</v>
      </c>
      <c r="B55" t="s">
        <v>19</v>
      </c>
      <c r="C55" s="2" t="s">
        <v>6</v>
      </c>
      <c r="D55" s="2">
        <f t="shared" si="3"/>
        <v>2027</v>
      </c>
      <c r="E55" s="2" t="str">
        <f t="shared" si="1"/>
        <v>Jun</v>
      </c>
      <c r="F55" s="3">
        <f t="shared" si="4"/>
        <v>46539</v>
      </c>
      <c r="G55" s="3" t="s">
        <v>37</v>
      </c>
      <c r="H55" s="2">
        <v>65</v>
      </c>
      <c r="I55" s="2">
        <v>68</v>
      </c>
      <c r="J55" s="2">
        <v>233</v>
      </c>
      <c r="K55" s="2">
        <v>230</v>
      </c>
    </row>
    <row r="56" spans="1:11" x14ac:dyDescent="0.25">
      <c r="A56" t="s">
        <v>29</v>
      </c>
      <c r="B56" t="s">
        <v>19</v>
      </c>
      <c r="C56" s="2" t="s">
        <v>6</v>
      </c>
      <c r="D56" s="2">
        <f t="shared" si="3"/>
        <v>2027</v>
      </c>
      <c r="E56" s="2" t="str">
        <f t="shared" si="1"/>
        <v>Jul</v>
      </c>
      <c r="F56" s="3">
        <f t="shared" si="4"/>
        <v>46569</v>
      </c>
      <c r="G56" s="3" t="s">
        <v>37</v>
      </c>
      <c r="H56" s="2">
        <v>59</v>
      </c>
      <c r="I56" s="2">
        <v>64</v>
      </c>
      <c r="J56" s="2">
        <v>253</v>
      </c>
      <c r="K56" s="2">
        <v>264</v>
      </c>
    </row>
    <row r="57" spans="1:11" x14ac:dyDescent="0.25">
      <c r="A57" t="s">
        <v>29</v>
      </c>
      <c r="B57" t="s">
        <v>19</v>
      </c>
      <c r="C57" s="2" t="s">
        <v>6</v>
      </c>
      <c r="D57" s="2">
        <f t="shared" si="3"/>
        <v>2027</v>
      </c>
      <c r="E57" s="2" t="str">
        <f t="shared" si="1"/>
        <v>Aug</v>
      </c>
      <c r="F57" s="3">
        <f t="shared" si="4"/>
        <v>46600</v>
      </c>
      <c r="G57" s="3" t="s">
        <v>37</v>
      </c>
      <c r="H57" s="2">
        <v>47</v>
      </c>
      <c r="I57" s="2">
        <v>42</v>
      </c>
      <c r="J57" s="2">
        <v>239</v>
      </c>
      <c r="K57" s="2">
        <v>257</v>
      </c>
    </row>
    <row r="58" spans="1:11" x14ac:dyDescent="0.25">
      <c r="A58" t="s">
        <v>29</v>
      </c>
      <c r="B58" t="s">
        <v>19</v>
      </c>
      <c r="C58" s="2" t="s">
        <v>6</v>
      </c>
      <c r="D58" s="2">
        <f t="shared" si="3"/>
        <v>2027</v>
      </c>
      <c r="E58" s="2" t="str">
        <f t="shared" si="1"/>
        <v>Sep</v>
      </c>
      <c r="F58" s="3">
        <f t="shared" si="4"/>
        <v>46631</v>
      </c>
      <c r="G58" s="3" t="s">
        <v>37</v>
      </c>
      <c r="H58" s="2">
        <v>50</v>
      </c>
      <c r="I58" s="2">
        <v>48</v>
      </c>
      <c r="J58" s="2">
        <v>195</v>
      </c>
      <c r="K58" s="2">
        <v>183</v>
      </c>
    </row>
    <row r="59" spans="1:11" x14ac:dyDescent="0.25">
      <c r="A59" t="s">
        <v>29</v>
      </c>
      <c r="B59" t="s">
        <v>19</v>
      </c>
      <c r="C59" s="2" t="s">
        <v>6</v>
      </c>
      <c r="D59" s="2">
        <f t="shared" si="3"/>
        <v>2027</v>
      </c>
      <c r="E59" s="2" t="str">
        <f t="shared" si="1"/>
        <v>Oct</v>
      </c>
      <c r="F59" s="3">
        <f t="shared" si="4"/>
        <v>46661</v>
      </c>
      <c r="G59" s="3" t="s">
        <v>37</v>
      </c>
      <c r="H59" s="2">
        <v>60</v>
      </c>
      <c r="I59" s="2">
        <v>65</v>
      </c>
      <c r="J59" s="2">
        <v>248</v>
      </c>
      <c r="K59" s="2">
        <v>259</v>
      </c>
    </row>
    <row r="60" spans="1:11" x14ac:dyDescent="0.25">
      <c r="A60" t="s">
        <v>29</v>
      </c>
      <c r="B60" t="s">
        <v>19</v>
      </c>
      <c r="C60" s="2" t="s">
        <v>6</v>
      </c>
      <c r="D60" s="2">
        <f t="shared" si="3"/>
        <v>2027</v>
      </c>
      <c r="E60" s="2" t="str">
        <f t="shared" si="1"/>
        <v>Nov</v>
      </c>
      <c r="F60" s="3">
        <f t="shared" si="4"/>
        <v>46692</v>
      </c>
      <c r="G60" s="3" t="s">
        <v>37</v>
      </c>
      <c r="H60" s="2">
        <v>62</v>
      </c>
      <c r="I60" s="2">
        <v>61</v>
      </c>
      <c r="J60" s="2">
        <v>273</v>
      </c>
      <c r="K60" s="2">
        <v>261</v>
      </c>
    </row>
    <row r="61" spans="1:11" x14ac:dyDescent="0.25">
      <c r="A61" t="s">
        <v>29</v>
      </c>
      <c r="B61" t="s">
        <v>19</v>
      </c>
      <c r="C61" s="2" t="s">
        <v>6</v>
      </c>
      <c r="D61" s="2">
        <f t="shared" si="3"/>
        <v>2027</v>
      </c>
      <c r="E61" s="2" t="str">
        <f t="shared" si="1"/>
        <v>Dec</v>
      </c>
      <c r="F61" s="3">
        <f t="shared" si="4"/>
        <v>46722</v>
      </c>
      <c r="G61" s="3" t="s">
        <v>37</v>
      </c>
      <c r="H61" s="2">
        <v>52</v>
      </c>
      <c r="I61" s="2">
        <v>57</v>
      </c>
      <c r="J61" s="2">
        <v>245</v>
      </c>
      <c r="K61" s="2">
        <v>230</v>
      </c>
    </row>
    <row r="62" spans="1:11" x14ac:dyDescent="0.25">
      <c r="A62" t="s">
        <v>32</v>
      </c>
      <c r="B62" t="s">
        <v>19</v>
      </c>
      <c r="C62" s="2" t="s">
        <v>5</v>
      </c>
      <c r="D62" s="2">
        <f>YEAR(F62)</f>
        <v>2023</v>
      </c>
      <c r="E62" s="2" t="str">
        <f>TEXT(F62,"mmm")</f>
        <v>Jan</v>
      </c>
      <c r="F62" s="3">
        <v>44927</v>
      </c>
      <c r="G62" s="3" t="s">
        <v>37</v>
      </c>
      <c r="H62" s="2">
        <v>60</v>
      </c>
      <c r="I62" s="2">
        <v>58</v>
      </c>
      <c r="J62" s="2">
        <v>183</v>
      </c>
      <c r="K62" s="2">
        <v>176</v>
      </c>
    </row>
    <row r="63" spans="1:11" x14ac:dyDescent="0.25">
      <c r="A63" t="s">
        <v>32</v>
      </c>
      <c r="B63" t="s">
        <v>19</v>
      </c>
      <c r="C63" s="2" t="s">
        <v>5</v>
      </c>
      <c r="D63" s="2">
        <f t="shared" ref="D63:D121" si="5">YEAR(F63)</f>
        <v>2023</v>
      </c>
      <c r="E63" s="2" t="str">
        <f t="shared" si="1"/>
        <v>Feb</v>
      </c>
      <c r="F63" s="3">
        <f>EOMONTH(F62,0)+1</f>
        <v>44958</v>
      </c>
      <c r="G63" s="3" t="s">
        <v>37</v>
      </c>
      <c r="H63" s="2">
        <v>69</v>
      </c>
      <c r="I63" s="2">
        <v>66</v>
      </c>
      <c r="J63" s="2">
        <v>281</v>
      </c>
      <c r="K63" s="2">
        <v>277</v>
      </c>
    </row>
    <row r="64" spans="1:11" x14ac:dyDescent="0.25">
      <c r="A64" t="s">
        <v>32</v>
      </c>
      <c r="B64" t="s">
        <v>19</v>
      </c>
      <c r="C64" s="2" t="s">
        <v>5</v>
      </c>
      <c r="D64" s="2">
        <f t="shared" si="5"/>
        <v>2023</v>
      </c>
      <c r="E64" s="2" t="str">
        <f t="shared" si="1"/>
        <v>Mar</v>
      </c>
      <c r="F64" s="3">
        <f t="shared" ref="F64:F121" si="6">EOMONTH(F63,0)+1</f>
        <v>44986</v>
      </c>
      <c r="G64" s="3" t="s">
        <v>37</v>
      </c>
      <c r="H64" s="2">
        <v>42</v>
      </c>
      <c r="I64" s="2">
        <v>43</v>
      </c>
      <c r="J64" s="2">
        <v>280</v>
      </c>
      <c r="K64" s="2">
        <v>294</v>
      </c>
    </row>
    <row r="65" spans="1:11" x14ac:dyDescent="0.25">
      <c r="A65" t="s">
        <v>32</v>
      </c>
      <c r="B65" t="s">
        <v>19</v>
      </c>
      <c r="C65" s="2" t="s">
        <v>5</v>
      </c>
      <c r="D65" s="2">
        <f t="shared" si="5"/>
        <v>2023</v>
      </c>
      <c r="E65" s="2" t="str">
        <f t="shared" si="1"/>
        <v>Apr</v>
      </c>
      <c r="F65" s="3">
        <f t="shared" si="6"/>
        <v>45017</v>
      </c>
      <c r="G65" s="3" t="s">
        <v>37</v>
      </c>
      <c r="H65" s="2">
        <v>59</v>
      </c>
      <c r="I65" s="2">
        <v>61</v>
      </c>
      <c r="J65" s="2">
        <v>232</v>
      </c>
      <c r="K65" s="2">
        <v>230</v>
      </c>
    </row>
    <row r="66" spans="1:11" x14ac:dyDescent="0.25">
      <c r="A66" t="s">
        <v>32</v>
      </c>
      <c r="B66" t="s">
        <v>19</v>
      </c>
      <c r="C66" s="2" t="s">
        <v>5</v>
      </c>
      <c r="D66" s="2">
        <f t="shared" si="5"/>
        <v>2023</v>
      </c>
      <c r="E66" s="2" t="str">
        <f t="shared" si="1"/>
        <v>May</v>
      </c>
      <c r="F66" s="3">
        <f t="shared" si="6"/>
        <v>45047</v>
      </c>
      <c r="G66" s="3" t="s">
        <v>37</v>
      </c>
      <c r="H66" s="2">
        <v>84</v>
      </c>
      <c r="I66" s="2">
        <v>84</v>
      </c>
      <c r="J66" s="2">
        <v>203</v>
      </c>
      <c r="K66" s="2">
        <v>198</v>
      </c>
    </row>
    <row r="67" spans="1:11" x14ac:dyDescent="0.25">
      <c r="A67" t="s">
        <v>32</v>
      </c>
      <c r="B67" t="s">
        <v>19</v>
      </c>
      <c r="C67" s="2" t="s">
        <v>5</v>
      </c>
      <c r="D67" s="2">
        <f t="shared" si="5"/>
        <v>2023</v>
      </c>
      <c r="E67" s="2" t="str">
        <f t="shared" ref="E67:E121" si="7">TEXT(F67,"mmm")</f>
        <v>Jun</v>
      </c>
      <c r="F67" s="3">
        <f t="shared" si="6"/>
        <v>45078</v>
      </c>
      <c r="G67" s="3" t="s">
        <v>37</v>
      </c>
      <c r="H67" s="2">
        <v>93</v>
      </c>
      <c r="I67" s="2">
        <v>101</v>
      </c>
      <c r="J67" s="2">
        <v>276</v>
      </c>
      <c r="K67" s="2">
        <v>287</v>
      </c>
    </row>
    <row r="68" spans="1:11" x14ac:dyDescent="0.25">
      <c r="A68" t="s">
        <v>32</v>
      </c>
      <c r="B68" t="s">
        <v>19</v>
      </c>
      <c r="C68" s="2" t="s">
        <v>5</v>
      </c>
      <c r="D68" s="2">
        <f t="shared" si="5"/>
        <v>2023</v>
      </c>
      <c r="E68" s="2" t="str">
        <f t="shared" si="7"/>
        <v>Jul</v>
      </c>
      <c r="F68" s="3">
        <f t="shared" si="6"/>
        <v>45108</v>
      </c>
      <c r="G68" s="3" t="s">
        <v>37</v>
      </c>
      <c r="H68" s="2">
        <v>93</v>
      </c>
      <c r="I68" s="2">
        <v>94</v>
      </c>
      <c r="J68" s="2">
        <v>214</v>
      </c>
      <c r="K68" s="2">
        <v>229</v>
      </c>
    </row>
    <row r="69" spans="1:11" x14ac:dyDescent="0.25">
      <c r="A69" t="s">
        <v>32</v>
      </c>
      <c r="B69" t="s">
        <v>19</v>
      </c>
      <c r="C69" s="2" t="s">
        <v>5</v>
      </c>
      <c r="D69" s="2">
        <f t="shared" si="5"/>
        <v>2023</v>
      </c>
      <c r="E69" s="2" t="str">
        <f t="shared" si="7"/>
        <v>Aug</v>
      </c>
      <c r="F69" s="3">
        <f t="shared" si="6"/>
        <v>45139</v>
      </c>
      <c r="G69" s="3" t="s">
        <v>37</v>
      </c>
      <c r="H69" s="2">
        <v>94</v>
      </c>
      <c r="I69" s="2">
        <v>96</v>
      </c>
      <c r="J69" s="2">
        <v>298</v>
      </c>
      <c r="K69" s="2">
        <v>302</v>
      </c>
    </row>
    <row r="70" spans="1:11" x14ac:dyDescent="0.25">
      <c r="A70" t="s">
        <v>32</v>
      </c>
      <c r="B70" t="s">
        <v>19</v>
      </c>
      <c r="C70" s="2" t="s">
        <v>5</v>
      </c>
      <c r="D70" s="2">
        <f t="shared" si="5"/>
        <v>2023</v>
      </c>
      <c r="E70" s="2" t="str">
        <f t="shared" si="7"/>
        <v>Sep</v>
      </c>
      <c r="F70" s="3">
        <f t="shared" si="6"/>
        <v>45170</v>
      </c>
      <c r="G70" s="3" t="s">
        <v>37</v>
      </c>
      <c r="H70" s="2">
        <v>95</v>
      </c>
      <c r="I70" s="2">
        <v>95</v>
      </c>
      <c r="J70" s="2">
        <v>292</v>
      </c>
      <c r="K70" s="2">
        <v>273</v>
      </c>
    </row>
    <row r="71" spans="1:11" x14ac:dyDescent="0.25">
      <c r="A71" t="s">
        <v>32</v>
      </c>
      <c r="B71" t="s">
        <v>19</v>
      </c>
      <c r="C71" s="2" t="s">
        <v>5</v>
      </c>
      <c r="D71" s="2">
        <f t="shared" si="5"/>
        <v>2023</v>
      </c>
      <c r="E71" s="2" t="str">
        <f t="shared" si="7"/>
        <v>Oct</v>
      </c>
      <c r="F71" s="3">
        <f t="shared" si="6"/>
        <v>45200</v>
      </c>
      <c r="G71" s="3" t="s">
        <v>37</v>
      </c>
      <c r="H71" s="2">
        <v>102</v>
      </c>
      <c r="I71" s="2">
        <v>94</v>
      </c>
      <c r="J71" s="2">
        <v>239</v>
      </c>
      <c r="K71" s="2">
        <v>228</v>
      </c>
    </row>
    <row r="72" spans="1:11" x14ac:dyDescent="0.25">
      <c r="A72" t="s">
        <v>32</v>
      </c>
      <c r="B72" t="s">
        <v>19</v>
      </c>
      <c r="C72" s="2" t="s">
        <v>5</v>
      </c>
      <c r="D72" s="2">
        <f t="shared" si="5"/>
        <v>2023</v>
      </c>
      <c r="E72" s="2" t="str">
        <f t="shared" si="7"/>
        <v>Nov</v>
      </c>
      <c r="F72" s="3">
        <f t="shared" si="6"/>
        <v>45231</v>
      </c>
      <c r="G72" s="3" t="s">
        <v>37</v>
      </c>
      <c r="H72" s="2">
        <v>61</v>
      </c>
      <c r="I72" s="2">
        <v>60</v>
      </c>
      <c r="J72" s="2">
        <v>238</v>
      </c>
      <c r="K72" s="2">
        <v>231</v>
      </c>
    </row>
    <row r="73" spans="1:11" x14ac:dyDescent="0.25">
      <c r="A73" t="s">
        <v>32</v>
      </c>
      <c r="B73" t="s">
        <v>19</v>
      </c>
      <c r="C73" s="2" t="s">
        <v>5</v>
      </c>
      <c r="D73" s="2">
        <f t="shared" si="5"/>
        <v>2023</v>
      </c>
      <c r="E73" s="2" t="str">
        <f t="shared" si="7"/>
        <v>Dec</v>
      </c>
      <c r="F73" s="3">
        <f t="shared" si="6"/>
        <v>45261</v>
      </c>
      <c r="G73" s="3" t="s">
        <v>37</v>
      </c>
      <c r="H73" s="2">
        <v>105</v>
      </c>
      <c r="I73" s="2">
        <v>95</v>
      </c>
      <c r="J73" s="2">
        <v>277</v>
      </c>
      <c r="K73" s="2">
        <v>274</v>
      </c>
    </row>
    <row r="74" spans="1:11" x14ac:dyDescent="0.25">
      <c r="A74" t="s">
        <v>32</v>
      </c>
      <c r="B74" t="s">
        <v>19</v>
      </c>
      <c r="C74" s="2" t="s">
        <v>5</v>
      </c>
      <c r="D74" s="2">
        <f t="shared" si="5"/>
        <v>2024</v>
      </c>
      <c r="E74" s="2" t="str">
        <f t="shared" si="7"/>
        <v>Jan</v>
      </c>
      <c r="F74" s="3">
        <f t="shared" si="6"/>
        <v>45292</v>
      </c>
      <c r="G74" s="3" t="s">
        <v>37</v>
      </c>
      <c r="H74" s="2">
        <v>68</v>
      </c>
      <c r="I74" s="2">
        <v>67</v>
      </c>
      <c r="J74" s="2">
        <v>197</v>
      </c>
      <c r="K74" s="2">
        <v>199</v>
      </c>
    </row>
    <row r="75" spans="1:11" x14ac:dyDescent="0.25">
      <c r="A75" t="s">
        <v>32</v>
      </c>
      <c r="B75" t="s">
        <v>19</v>
      </c>
      <c r="C75" s="2" t="s">
        <v>5</v>
      </c>
      <c r="D75" s="2">
        <f t="shared" si="5"/>
        <v>2024</v>
      </c>
      <c r="E75" s="2" t="str">
        <f t="shared" si="7"/>
        <v>Feb</v>
      </c>
      <c r="F75" s="3">
        <f t="shared" si="6"/>
        <v>45323</v>
      </c>
      <c r="G75" s="3" t="s">
        <v>37</v>
      </c>
      <c r="H75" s="2">
        <v>65</v>
      </c>
      <c r="I75" s="2">
        <v>66</v>
      </c>
      <c r="J75" s="2">
        <v>262</v>
      </c>
      <c r="K75" s="2">
        <v>267</v>
      </c>
    </row>
    <row r="76" spans="1:11" x14ac:dyDescent="0.25">
      <c r="A76" t="s">
        <v>32</v>
      </c>
      <c r="B76" t="s">
        <v>19</v>
      </c>
      <c r="C76" s="2" t="s">
        <v>5</v>
      </c>
      <c r="D76" s="2">
        <f t="shared" si="5"/>
        <v>2024</v>
      </c>
      <c r="E76" s="2" t="str">
        <f t="shared" si="7"/>
        <v>Mar</v>
      </c>
      <c r="F76" s="3">
        <f t="shared" si="6"/>
        <v>45352</v>
      </c>
      <c r="G76" s="3" t="s">
        <v>37</v>
      </c>
      <c r="H76" s="2">
        <v>53</v>
      </c>
      <c r="I76" s="2">
        <v>54</v>
      </c>
      <c r="J76" s="2">
        <v>293</v>
      </c>
      <c r="K76" s="2">
        <v>288</v>
      </c>
    </row>
    <row r="77" spans="1:11" x14ac:dyDescent="0.25">
      <c r="A77" t="s">
        <v>32</v>
      </c>
      <c r="B77" t="s">
        <v>19</v>
      </c>
      <c r="C77" s="2" t="s">
        <v>5</v>
      </c>
      <c r="D77" s="2">
        <f t="shared" si="5"/>
        <v>2024</v>
      </c>
      <c r="E77" s="2" t="str">
        <f t="shared" si="7"/>
        <v>Apr</v>
      </c>
      <c r="F77" s="3">
        <f t="shared" si="6"/>
        <v>45383</v>
      </c>
      <c r="G77" s="3" t="s">
        <v>37</v>
      </c>
      <c r="H77" s="2">
        <v>50</v>
      </c>
      <c r="I77" s="2">
        <v>50</v>
      </c>
      <c r="J77" s="2">
        <v>280</v>
      </c>
      <c r="K77" s="2">
        <v>300</v>
      </c>
    </row>
    <row r="78" spans="1:11" x14ac:dyDescent="0.25">
      <c r="A78" t="s">
        <v>32</v>
      </c>
      <c r="B78" t="s">
        <v>19</v>
      </c>
      <c r="C78" s="2" t="s">
        <v>5</v>
      </c>
      <c r="D78" s="2">
        <f t="shared" si="5"/>
        <v>2024</v>
      </c>
      <c r="E78" s="2" t="str">
        <f t="shared" si="7"/>
        <v>May</v>
      </c>
      <c r="F78" s="3">
        <f t="shared" si="6"/>
        <v>45413</v>
      </c>
      <c r="G78" s="3" t="s">
        <v>37</v>
      </c>
      <c r="H78" s="2">
        <v>52</v>
      </c>
      <c r="I78" s="2">
        <v>48</v>
      </c>
      <c r="J78" s="2">
        <v>288</v>
      </c>
      <c r="K78" s="2">
        <v>271</v>
      </c>
    </row>
    <row r="79" spans="1:11" x14ac:dyDescent="0.25">
      <c r="A79" t="s">
        <v>32</v>
      </c>
      <c r="B79" t="s">
        <v>19</v>
      </c>
      <c r="C79" s="2" t="s">
        <v>5</v>
      </c>
      <c r="D79" s="2">
        <f t="shared" si="5"/>
        <v>2024</v>
      </c>
      <c r="E79" s="2" t="str">
        <f t="shared" si="7"/>
        <v>Jun</v>
      </c>
      <c r="F79" s="3">
        <f t="shared" si="6"/>
        <v>45444</v>
      </c>
      <c r="G79" s="3" t="s">
        <v>37</v>
      </c>
      <c r="H79" s="2">
        <v>51</v>
      </c>
      <c r="I79" s="2">
        <v>52</v>
      </c>
      <c r="J79" s="2">
        <v>290</v>
      </c>
      <c r="K79" s="2">
        <v>287</v>
      </c>
    </row>
    <row r="80" spans="1:11" x14ac:dyDescent="0.25">
      <c r="A80" t="s">
        <v>32</v>
      </c>
      <c r="B80" t="s">
        <v>19</v>
      </c>
      <c r="C80" s="2" t="s">
        <v>5</v>
      </c>
      <c r="D80" s="2">
        <f t="shared" si="5"/>
        <v>2024</v>
      </c>
      <c r="E80" s="2" t="str">
        <f t="shared" si="7"/>
        <v>Jul</v>
      </c>
      <c r="F80" s="3">
        <f t="shared" si="6"/>
        <v>45474</v>
      </c>
      <c r="G80" s="3" t="s">
        <v>37</v>
      </c>
      <c r="H80" s="2">
        <v>61</v>
      </c>
      <c r="I80" s="2">
        <v>60</v>
      </c>
      <c r="J80" s="2">
        <v>258</v>
      </c>
      <c r="K80" s="2">
        <v>245</v>
      </c>
    </row>
    <row r="81" spans="1:11" x14ac:dyDescent="0.25">
      <c r="A81" t="s">
        <v>32</v>
      </c>
      <c r="B81" t="s">
        <v>19</v>
      </c>
      <c r="C81" s="2" t="s">
        <v>5</v>
      </c>
      <c r="D81" s="2">
        <f t="shared" si="5"/>
        <v>2024</v>
      </c>
      <c r="E81" s="2" t="str">
        <f t="shared" si="7"/>
        <v>Aug</v>
      </c>
      <c r="F81" s="3">
        <f t="shared" si="6"/>
        <v>45505</v>
      </c>
      <c r="G81" s="3" t="s">
        <v>37</v>
      </c>
      <c r="H81" s="2">
        <v>48</v>
      </c>
      <c r="I81" s="2">
        <v>52</v>
      </c>
      <c r="J81" s="2">
        <v>192</v>
      </c>
      <c r="K81" s="2">
        <v>194</v>
      </c>
    </row>
    <row r="82" spans="1:11" x14ac:dyDescent="0.25">
      <c r="A82" t="s">
        <v>32</v>
      </c>
      <c r="B82" t="s">
        <v>19</v>
      </c>
      <c r="C82" s="2" t="s">
        <v>5</v>
      </c>
      <c r="D82" s="2">
        <f t="shared" si="5"/>
        <v>2024</v>
      </c>
      <c r="E82" s="2" t="str">
        <f t="shared" si="7"/>
        <v>Sep</v>
      </c>
      <c r="F82" s="3">
        <f t="shared" si="6"/>
        <v>45536</v>
      </c>
      <c r="G82" s="3" t="s">
        <v>37</v>
      </c>
      <c r="H82" s="2">
        <v>56</v>
      </c>
      <c r="I82" s="2">
        <v>54</v>
      </c>
      <c r="J82" s="2">
        <v>295</v>
      </c>
      <c r="K82" s="2">
        <v>310</v>
      </c>
    </row>
    <row r="83" spans="1:11" x14ac:dyDescent="0.25">
      <c r="A83" t="s">
        <v>32</v>
      </c>
      <c r="B83" t="s">
        <v>19</v>
      </c>
      <c r="C83" s="2" t="s">
        <v>5</v>
      </c>
      <c r="D83" s="2">
        <f t="shared" si="5"/>
        <v>2024</v>
      </c>
      <c r="E83" s="2" t="str">
        <f t="shared" si="7"/>
        <v>Oct</v>
      </c>
      <c r="F83" s="3">
        <f t="shared" si="6"/>
        <v>45566</v>
      </c>
      <c r="G83" s="3" t="s">
        <v>37</v>
      </c>
      <c r="H83" s="2">
        <v>49</v>
      </c>
      <c r="I83" s="2">
        <v>47</v>
      </c>
      <c r="J83" s="2">
        <v>293</v>
      </c>
      <c r="K83" s="2">
        <v>282</v>
      </c>
    </row>
    <row r="84" spans="1:11" x14ac:dyDescent="0.25">
      <c r="A84" t="s">
        <v>32</v>
      </c>
      <c r="B84" t="s">
        <v>19</v>
      </c>
      <c r="C84" s="2" t="s">
        <v>5</v>
      </c>
      <c r="D84" s="2">
        <f t="shared" si="5"/>
        <v>2024</v>
      </c>
      <c r="E84" s="2" t="str">
        <f t="shared" si="7"/>
        <v>Nov</v>
      </c>
      <c r="F84" s="3">
        <f t="shared" si="6"/>
        <v>45597</v>
      </c>
      <c r="G84" s="3" t="s">
        <v>37</v>
      </c>
      <c r="H84" s="2">
        <v>42</v>
      </c>
      <c r="I84" s="2">
        <v>42</v>
      </c>
      <c r="J84" s="2">
        <v>202</v>
      </c>
      <c r="K84" s="2">
        <v>196</v>
      </c>
    </row>
    <row r="85" spans="1:11" x14ac:dyDescent="0.25">
      <c r="A85" t="s">
        <v>32</v>
      </c>
      <c r="B85" t="s">
        <v>19</v>
      </c>
      <c r="C85" s="2" t="s">
        <v>5</v>
      </c>
      <c r="D85" s="2">
        <f t="shared" si="5"/>
        <v>2024</v>
      </c>
      <c r="E85" s="2" t="str">
        <f t="shared" si="7"/>
        <v>Dec</v>
      </c>
      <c r="F85" s="3">
        <f t="shared" si="6"/>
        <v>45627</v>
      </c>
      <c r="G85" s="3" t="s">
        <v>37</v>
      </c>
      <c r="H85" s="2">
        <v>60</v>
      </c>
      <c r="I85" s="2">
        <v>64</v>
      </c>
      <c r="J85" s="2">
        <v>289</v>
      </c>
      <c r="K85" s="2">
        <v>273</v>
      </c>
    </row>
    <row r="86" spans="1:11" x14ac:dyDescent="0.25">
      <c r="A86" t="s">
        <v>32</v>
      </c>
      <c r="B86" t="s">
        <v>19</v>
      </c>
      <c r="C86" s="2" t="s">
        <v>6</v>
      </c>
      <c r="D86" s="2">
        <f t="shared" si="5"/>
        <v>2025</v>
      </c>
      <c r="E86" s="2" t="str">
        <f t="shared" si="7"/>
        <v>Jan</v>
      </c>
      <c r="F86" s="3">
        <f t="shared" si="6"/>
        <v>45658</v>
      </c>
      <c r="G86" s="3" t="s">
        <v>37</v>
      </c>
      <c r="H86" s="2">
        <v>62</v>
      </c>
      <c r="I86" s="2">
        <v>59</v>
      </c>
      <c r="J86" s="2">
        <v>298</v>
      </c>
      <c r="K86" s="2">
        <v>281</v>
      </c>
    </row>
    <row r="87" spans="1:11" x14ac:dyDescent="0.25">
      <c r="A87" t="s">
        <v>32</v>
      </c>
      <c r="B87" t="s">
        <v>19</v>
      </c>
      <c r="C87" s="2" t="s">
        <v>6</v>
      </c>
      <c r="D87" s="2">
        <f t="shared" si="5"/>
        <v>2025</v>
      </c>
      <c r="E87" s="2" t="str">
        <f t="shared" si="7"/>
        <v>Feb</v>
      </c>
      <c r="F87" s="3">
        <f t="shared" si="6"/>
        <v>45689</v>
      </c>
      <c r="G87" s="3" t="s">
        <v>37</v>
      </c>
      <c r="H87" s="2">
        <v>50</v>
      </c>
      <c r="I87" s="2">
        <v>47</v>
      </c>
      <c r="J87" s="2">
        <v>257</v>
      </c>
      <c r="K87" s="2">
        <v>276</v>
      </c>
    </row>
    <row r="88" spans="1:11" x14ac:dyDescent="0.25">
      <c r="A88" t="s">
        <v>32</v>
      </c>
      <c r="B88" t="s">
        <v>19</v>
      </c>
      <c r="C88" s="2" t="s">
        <v>6</v>
      </c>
      <c r="D88" s="2">
        <f t="shared" si="5"/>
        <v>2025</v>
      </c>
      <c r="E88" s="2" t="str">
        <f t="shared" si="7"/>
        <v>Mar</v>
      </c>
      <c r="F88" s="3">
        <f t="shared" si="6"/>
        <v>45717</v>
      </c>
      <c r="G88" s="3" t="s">
        <v>37</v>
      </c>
      <c r="H88" s="2">
        <v>59</v>
      </c>
      <c r="I88" s="2">
        <v>60</v>
      </c>
      <c r="J88" s="2">
        <v>259</v>
      </c>
      <c r="K88" s="2">
        <v>254</v>
      </c>
    </row>
    <row r="89" spans="1:11" x14ac:dyDescent="0.25">
      <c r="A89" t="s">
        <v>32</v>
      </c>
      <c r="B89" t="s">
        <v>19</v>
      </c>
      <c r="C89" s="2" t="s">
        <v>6</v>
      </c>
      <c r="D89" s="2">
        <f t="shared" si="5"/>
        <v>2025</v>
      </c>
      <c r="E89" s="2" t="str">
        <f t="shared" si="7"/>
        <v>Apr</v>
      </c>
      <c r="F89" s="3">
        <f t="shared" si="6"/>
        <v>45748</v>
      </c>
      <c r="G89" s="3" t="s">
        <v>37</v>
      </c>
      <c r="H89" s="2">
        <v>65</v>
      </c>
      <c r="I89" s="2">
        <v>71</v>
      </c>
      <c r="J89" s="2">
        <v>240</v>
      </c>
      <c r="K89" s="2">
        <v>240</v>
      </c>
    </row>
    <row r="90" spans="1:11" x14ac:dyDescent="0.25">
      <c r="A90" t="s">
        <v>32</v>
      </c>
      <c r="B90" t="s">
        <v>19</v>
      </c>
      <c r="C90" s="2" t="s">
        <v>6</v>
      </c>
      <c r="D90" s="2">
        <f t="shared" si="5"/>
        <v>2025</v>
      </c>
      <c r="E90" s="2" t="str">
        <f t="shared" si="7"/>
        <v>May</v>
      </c>
      <c r="F90" s="3">
        <f t="shared" si="6"/>
        <v>45778</v>
      </c>
      <c r="G90" s="3" t="s">
        <v>37</v>
      </c>
      <c r="H90" s="2">
        <v>84</v>
      </c>
      <c r="I90" s="2">
        <v>78</v>
      </c>
      <c r="J90" s="2">
        <v>258</v>
      </c>
      <c r="K90" s="2">
        <v>279</v>
      </c>
    </row>
    <row r="91" spans="1:11" x14ac:dyDescent="0.25">
      <c r="A91" t="s">
        <v>32</v>
      </c>
      <c r="B91" t="s">
        <v>19</v>
      </c>
      <c r="C91" s="2" t="s">
        <v>6</v>
      </c>
      <c r="D91" s="2">
        <f t="shared" si="5"/>
        <v>2025</v>
      </c>
      <c r="E91" s="2" t="str">
        <f t="shared" si="7"/>
        <v>Jun</v>
      </c>
      <c r="F91" s="3">
        <f t="shared" si="6"/>
        <v>45809</v>
      </c>
      <c r="G91" s="3" t="s">
        <v>37</v>
      </c>
      <c r="H91" s="2">
        <v>104</v>
      </c>
      <c r="I91" s="2">
        <v>105</v>
      </c>
      <c r="J91" s="2">
        <v>258</v>
      </c>
      <c r="K91" s="2">
        <v>277</v>
      </c>
    </row>
    <row r="92" spans="1:11" x14ac:dyDescent="0.25">
      <c r="A92" t="s">
        <v>32</v>
      </c>
      <c r="B92" t="s">
        <v>19</v>
      </c>
      <c r="C92" s="2" t="s">
        <v>6</v>
      </c>
      <c r="D92" s="2">
        <f t="shared" si="5"/>
        <v>2025</v>
      </c>
      <c r="E92" s="2" t="str">
        <f t="shared" si="7"/>
        <v>Jul</v>
      </c>
      <c r="F92" s="3">
        <f t="shared" si="6"/>
        <v>45839</v>
      </c>
      <c r="G92" s="3" t="s">
        <v>37</v>
      </c>
      <c r="H92" s="2">
        <v>65</v>
      </c>
      <c r="I92" s="2">
        <v>59</v>
      </c>
      <c r="J92" s="2">
        <v>226</v>
      </c>
      <c r="K92" s="2">
        <v>222</v>
      </c>
    </row>
    <row r="93" spans="1:11" x14ac:dyDescent="0.25">
      <c r="A93" t="s">
        <v>32</v>
      </c>
      <c r="B93" t="s">
        <v>19</v>
      </c>
      <c r="C93" s="2" t="s">
        <v>6</v>
      </c>
      <c r="D93" s="2">
        <f t="shared" si="5"/>
        <v>2025</v>
      </c>
      <c r="E93" s="2" t="str">
        <f t="shared" si="7"/>
        <v>Aug</v>
      </c>
      <c r="F93" s="3">
        <f t="shared" si="6"/>
        <v>45870</v>
      </c>
      <c r="G93" s="3" t="s">
        <v>37</v>
      </c>
      <c r="H93" s="2">
        <v>90</v>
      </c>
      <c r="I93" s="2">
        <v>93</v>
      </c>
      <c r="J93" s="2">
        <v>287</v>
      </c>
      <c r="K93" s="2">
        <v>271</v>
      </c>
    </row>
    <row r="94" spans="1:11" x14ac:dyDescent="0.25">
      <c r="A94" t="s">
        <v>32</v>
      </c>
      <c r="B94" t="s">
        <v>19</v>
      </c>
      <c r="C94" s="2" t="s">
        <v>6</v>
      </c>
      <c r="D94" s="2">
        <f t="shared" si="5"/>
        <v>2025</v>
      </c>
      <c r="E94" s="2" t="str">
        <f t="shared" si="7"/>
        <v>Sep</v>
      </c>
      <c r="F94" s="3">
        <f t="shared" si="6"/>
        <v>45901</v>
      </c>
      <c r="G94" s="3" t="s">
        <v>37</v>
      </c>
      <c r="H94" s="2">
        <v>96</v>
      </c>
      <c r="I94" s="2">
        <v>100</v>
      </c>
      <c r="J94" s="2">
        <v>186</v>
      </c>
      <c r="K94" s="2">
        <v>179</v>
      </c>
    </row>
    <row r="95" spans="1:11" x14ac:dyDescent="0.25">
      <c r="A95" t="s">
        <v>32</v>
      </c>
      <c r="B95" t="s">
        <v>19</v>
      </c>
      <c r="C95" s="2" t="s">
        <v>6</v>
      </c>
      <c r="D95" s="2">
        <f t="shared" si="5"/>
        <v>2025</v>
      </c>
      <c r="E95" s="2" t="str">
        <f t="shared" si="7"/>
        <v>Oct</v>
      </c>
      <c r="F95" s="3">
        <f t="shared" si="6"/>
        <v>45931</v>
      </c>
      <c r="G95" s="3" t="s">
        <v>37</v>
      </c>
      <c r="H95" s="2">
        <v>67</v>
      </c>
      <c r="I95" s="2">
        <v>63</v>
      </c>
      <c r="J95" s="2">
        <v>200</v>
      </c>
      <c r="K95" s="2">
        <v>206</v>
      </c>
    </row>
    <row r="96" spans="1:11" x14ac:dyDescent="0.25">
      <c r="A96" t="s">
        <v>32</v>
      </c>
      <c r="B96" t="s">
        <v>19</v>
      </c>
      <c r="C96" s="2" t="s">
        <v>6</v>
      </c>
      <c r="D96" s="2">
        <f t="shared" si="5"/>
        <v>2025</v>
      </c>
      <c r="E96" s="2" t="str">
        <f t="shared" si="7"/>
        <v>Nov</v>
      </c>
      <c r="F96" s="3">
        <f t="shared" si="6"/>
        <v>45962</v>
      </c>
      <c r="G96" s="3" t="s">
        <v>37</v>
      </c>
      <c r="H96" s="2">
        <v>72</v>
      </c>
      <c r="I96" s="2">
        <v>68</v>
      </c>
      <c r="J96" s="2">
        <v>240</v>
      </c>
      <c r="K96" s="2">
        <v>257</v>
      </c>
    </row>
    <row r="97" spans="1:11" x14ac:dyDescent="0.25">
      <c r="A97" t="s">
        <v>32</v>
      </c>
      <c r="B97" t="s">
        <v>19</v>
      </c>
      <c r="C97" s="2" t="s">
        <v>6</v>
      </c>
      <c r="D97" s="2">
        <f t="shared" si="5"/>
        <v>2025</v>
      </c>
      <c r="E97" s="2" t="str">
        <f t="shared" si="7"/>
        <v>Dec</v>
      </c>
      <c r="F97" s="3">
        <f t="shared" si="6"/>
        <v>45992</v>
      </c>
      <c r="G97" s="3" t="s">
        <v>37</v>
      </c>
      <c r="H97" s="2">
        <v>92</v>
      </c>
      <c r="I97" s="2">
        <v>94</v>
      </c>
      <c r="J97" s="2">
        <v>184</v>
      </c>
      <c r="K97" s="2">
        <v>177</v>
      </c>
    </row>
    <row r="98" spans="1:11" x14ac:dyDescent="0.25">
      <c r="A98" t="s">
        <v>32</v>
      </c>
      <c r="B98" t="s">
        <v>19</v>
      </c>
      <c r="C98" s="2" t="s">
        <v>6</v>
      </c>
      <c r="D98" s="2">
        <f t="shared" si="5"/>
        <v>2026</v>
      </c>
      <c r="E98" s="2" t="str">
        <f t="shared" si="7"/>
        <v>Jan</v>
      </c>
      <c r="F98" s="3">
        <f t="shared" si="6"/>
        <v>46023</v>
      </c>
      <c r="G98" s="3" t="s">
        <v>37</v>
      </c>
      <c r="H98" s="2">
        <v>96</v>
      </c>
      <c r="I98" s="2">
        <v>101</v>
      </c>
      <c r="J98" s="2">
        <v>272</v>
      </c>
      <c r="K98" s="2">
        <v>270</v>
      </c>
    </row>
    <row r="99" spans="1:11" x14ac:dyDescent="0.25">
      <c r="A99" t="s">
        <v>32</v>
      </c>
      <c r="B99" t="s">
        <v>19</v>
      </c>
      <c r="C99" s="2" t="s">
        <v>6</v>
      </c>
      <c r="D99" s="2">
        <f t="shared" si="5"/>
        <v>2026</v>
      </c>
      <c r="E99" s="2" t="str">
        <f t="shared" si="7"/>
        <v>Feb</v>
      </c>
      <c r="F99" s="3">
        <f t="shared" si="6"/>
        <v>46054</v>
      </c>
      <c r="G99" s="3" t="s">
        <v>37</v>
      </c>
      <c r="H99" s="2">
        <v>74</v>
      </c>
      <c r="I99" s="2">
        <v>78</v>
      </c>
      <c r="J99" s="2">
        <v>234</v>
      </c>
      <c r="K99" s="2">
        <v>232</v>
      </c>
    </row>
    <row r="100" spans="1:11" x14ac:dyDescent="0.25">
      <c r="A100" t="s">
        <v>32</v>
      </c>
      <c r="B100" t="s">
        <v>19</v>
      </c>
      <c r="C100" s="2" t="s">
        <v>6</v>
      </c>
      <c r="D100" s="2">
        <f t="shared" si="5"/>
        <v>2026</v>
      </c>
      <c r="E100" s="2" t="str">
        <f t="shared" si="7"/>
        <v>Mar</v>
      </c>
      <c r="F100" s="3">
        <f t="shared" si="6"/>
        <v>46082</v>
      </c>
      <c r="G100" s="3" t="s">
        <v>37</v>
      </c>
      <c r="H100" s="2">
        <v>56</v>
      </c>
      <c r="I100" s="2">
        <v>51</v>
      </c>
      <c r="J100" s="2">
        <v>253</v>
      </c>
      <c r="K100" s="2">
        <v>259</v>
      </c>
    </row>
    <row r="101" spans="1:11" x14ac:dyDescent="0.25">
      <c r="A101" t="s">
        <v>32</v>
      </c>
      <c r="B101" t="s">
        <v>19</v>
      </c>
      <c r="C101" s="2" t="s">
        <v>6</v>
      </c>
      <c r="D101" s="2">
        <f t="shared" si="5"/>
        <v>2026</v>
      </c>
      <c r="E101" s="2" t="str">
        <f t="shared" si="7"/>
        <v>Apr</v>
      </c>
      <c r="F101" s="3">
        <f t="shared" si="6"/>
        <v>46113</v>
      </c>
      <c r="G101" s="3" t="s">
        <v>37</v>
      </c>
      <c r="H101" s="2">
        <v>50</v>
      </c>
      <c r="I101" s="2">
        <v>45</v>
      </c>
      <c r="J101" s="2">
        <v>209</v>
      </c>
      <c r="K101" s="2">
        <v>221</v>
      </c>
    </row>
    <row r="102" spans="1:11" x14ac:dyDescent="0.25">
      <c r="A102" t="s">
        <v>32</v>
      </c>
      <c r="B102" t="s">
        <v>19</v>
      </c>
      <c r="C102" s="2" t="s">
        <v>6</v>
      </c>
      <c r="D102" s="2">
        <f t="shared" si="5"/>
        <v>2026</v>
      </c>
      <c r="E102" s="2" t="str">
        <f t="shared" si="7"/>
        <v>May</v>
      </c>
      <c r="F102" s="3">
        <f t="shared" si="6"/>
        <v>46143</v>
      </c>
      <c r="G102" s="3" t="s">
        <v>37</v>
      </c>
      <c r="H102" s="2">
        <v>52</v>
      </c>
      <c r="I102" s="2">
        <v>49</v>
      </c>
      <c r="J102" s="2">
        <v>181</v>
      </c>
      <c r="K102" s="2">
        <v>178</v>
      </c>
    </row>
    <row r="103" spans="1:11" x14ac:dyDescent="0.25">
      <c r="A103" t="s">
        <v>32</v>
      </c>
      <c r="B103" t="s">
        <v>19</v>
      </c>
      <c r="C103" s="2" t="s">
        <v>6</v>
      </c>
      <c r="D103" s="2">
        <f t="shared" si="5"/>
        <v>2026</v>
      </c>
      <c r="E103" s="2" t="str">
        <f t="shared" si="7"/>
        <v>Jun</v>
      </c>
      <c r="F103" s="3">
        <f t="shared" si="6"/>
        <v>46174</v>
      </c>
      <c r="G103" s="3" t="s">
        <v>37</v>
      </c>
      <c r="H103" s="2">
        <v>65</v>
      </c>
      <c r="I103" s="2">
        <v>68</v>
      </c>
      <c r="J103" s="2">
        <v>233</v>
      </c>
      <c r="K103" s="2">
        <v>230</v>
      </c>
    </row>
    <row r="104" spans="1:11" x14ac:dyDescent="0.25">
      <c r="A104" t="s">
        <v>32</v>
      </c>
      <c r="B104" t="s">
        <v>19</v>
      </c>
      <c r="C104" s="2" t="s">
        <v>6</v>
      </c>
      <c r="D104" s="2">
        <f t="shared" si="5"/>
        <v>2026</v>
      </c>
      <c r="E104" s="2" t="str">
        <f t="shared" si="7"/>
        <v>Jul</v>
      </c>
      <c r="F104" s="3">
        <f t="shared" si="6"/>
        <v>46204</v>
      </c>
      <c r="G104" s="3" t="s">
        <v>37</v>
      </c>
      <c r="H104" s="2">
        <v>59</v>
      </c>
      <c r="I104" s="2">
        <v>64</v>
      </c>
      <c r="J104" s="2">
        <v>253</v>
      </c>
      <c r="K104" s="2">
        <v>264</v>
      </c>
    </row>
    <row r="105" spans="1:11" x14ac:dyDescent="0.25">
      <c r="A105" t="s">
        <v>32</v>
      </c>
      <c r="B105" t="s">
        <v>19</v>
      </c>
      <c r="C105" s="2" t="s">
        <v>6</v>
      </c>
      <c r="D105" s="2">
        <f t="shared" si="5"/>
        <v>2026</v>
      </c>
      <c r="E105" s="2" t="str">
        <f t="shared" si="7"/>
        <v>Aug</v>
      </c>
      <c r="F105" s="3">
        <f t="shared" si="6"/>
        <v>46235</v>
      </c>
      <c r="G105" s="3" t="s">
        <v>37</v>
      </c>
      <c r="H105" s="2">
        <v>47</v>
      </c>
      <c r="I105" s="2">
        <v>42</v>
      </c>
      <c r="J105" s="2">
        <v>239</v>
      </c>
      <c r="K105" s="2">
        <v>257</v>
      </c>
    </row>
    <row r="106" spans="1:11" x14ac:dyDescent="0.25">
      <c r="A106" t="s">
        <v>32</v>
      </c>
      <c r="B106" t="s">
        <v>19</v>
      </c>
      <c r="C106" s="2" t="s">
        <v>6</v>
      </c>
      <c r="D106" s="2">
        <f t="shared" si="5"/>
        <v>2026</v>
      </c>
      <c r="E106" s="2" t="str">
        <f t="shared" si="7"/>
        <v>Sep</v>
      </c>
      <c r="F106" s="3">
        <f t="shared" si="6"/>
        <v>46266</v>
      </c>
      <c r="G106" s="3" t="s">
        <v>37</v>
      </c>
      <c r="H106" s="2">
        <v>50</v>
      </c>
      <c r="I106" s="2">
        <v>48</v>
      </c>
      <c r="J106" s="2">
        <v>195</v>
      </c>
      <c r="K106" s="2">
        <v>183</v>
      </c>
    </row>
    <row r="107" spans="1:11" x14ac:dyDescent="0.25">
      <c r="A107" t="s">
        <v>32</v>
      </c>
      <c r="B107" t="s">
        <v>19</v>
      </c>
      <c r="C107" s="2" t="s">
        <v>6</v>
      </c>
      <c r="D107" s="2">
        <f t="shared" si="5"/>
        <v>2026</v>
      </c>
      <c r="E107" s="2" t="str">
        <f t="shared" si="7"/>
        <v>Oct</v>
      </c>
      <c r="F107" s="3">
        <f t="shared" si="6"/>
        <v>46296</v>
      </c>
      <c r="G107" s="3" t="s">
        <v>37</v>
      </c>
      <c r="H107" s="2">
        <v>60</v>
      </c>
      <c r="I107" s="2">
        <v>65</v>
      </c>
      <c r="J107" s="2">
        <v>248</v>
      </c>
      <c r="K107" s="2">
        <v>259</v>
      </c>
    </row>
    <row r="108" spans="1:11" x14ac:dyDescent="0.25">
      <c r="A108" t="s">
        <v>32</v>
      </c>
      <c r="B108" t="s">
        <v>19</v>
      </c>
      <c r="C108" s="2" t="s">
        <v>6</v>
      </c>
      <c r="D108" s="2">
        <f t="shared" si="5"/>
        <v>2026</v>
      </c>
      <c r="E108" s="2" t="str">
        <f t="shared" si="7"/>
        <v>Nov</v>
      </c>
      <c r="F108" s="3">
        <f t="shared" si="6"/>
        <v>46327</v>
      </c>
      <c r="G108" s="3" t="s">
        <v>37</v>
      </c>
      <c r="H108" s="2">
        <v>62</v>
      </c>
      <c r="I108" s="2">
        <v>61</v>
      </c>
      <c r="J108" s="2">
        <v>273</v>
      </c>
      <c r="K108" s="2">
        <v>261</v>
      </c>
    </row>
    <row r="109" spans="1:11" x14ac:dyDescent="0.25">
      <c r="A109" t="s">
        <v>32</v>
      </c>
      <c r="B109" t="s">
        <v>19</v>
      </c>
      <c r="C109" s="2" t="s">
        <v>6</v>
      </c>
      <c r="D109" s="2">
        <f t="shared" si="5"/>
        <v>2026</v>
      </c>
      <c r="E109" s="2" t="str">
        <f t="shared" si="7"/>
        <v>Dec</v>
      </c>
      <c r="F109" s="3">
        <f t="shared" si="6"/>
        <v>46357</v>
      </c>
      <c r="G109" s="3" t="s">
        <v>37</v>
      </c>
      <c r="H109" s="2">
        <v>52</v>
      </c>
      <c r="I109" s="2">
        <v>57</v>
      </c>
      <c r="J109" s="2">
        <v>245</v>
      </c>
      <c r="K109" s="2">
        <v>230</v>
      </c>
    </row>
    <row r="110" spans="1:11" x14ac:dyDescent="0.25">
      <c r="A110" t="s">
        <v>32</v>
      </c>
      <c r="B110" t="s">
        <v>19</v>
      </c>
      <c r="C110" s="2" t="s">
        <v>6</v>
      </c>
      <c r="D110" s="2">
        <f t="shared" si="5"/>
        <v>2027</v>
      </c>
      <c r="E110" s="2" t="str">
        <f t="shared" si="7"/>
        <v>Jan</v>
      </c>
      <c r="F110" s="3">
        <f t="shared" si="6"/>
        <v>46388</v>
      </c>
      <c r="G110" s="3" t="s">
        <v>37</v>
      </c>
      <c r="H110" s="2">
        <v>96</v>
      </c>
      <c r="I110" s="2">
        <v>101</v>
      </c>
      <c r="J110" s="2">
        <v>272</v>
      </c>
      <c r="K110" s="2">
        <v>270</v>
      </c>
    </row>
    <row r="111" spans="1:11" x14ac:dyDescent="0.25">
      <c r="A111" t="s">
        <v>32</v>
      </c>
      <c r="B111" t="s">
        <v>19</v>
      </c>
      <c r="C111" s="2" t="s">
        <v>6</v>
      </c>
      <c r="D111" s="2">
        <f t="shared" si="5"/>
        <v>2027</v>
      </c>
      <c r="E111" s="2" t="str">
        <f t="shared" si="7"/>
        <v>Feb</v>
      </c>
      <c r="F111" s="3">
        <f t="shared" si="6"/>
        <v>46419</v>
      </c>
      <c r="G111" s="3" t="s">
        <v>37</v>
      </c>
      <c r="H111" s="2">
        <v>74</v>
      </c>
      <c r="I111" s="2">
        <v>78</v>
      </c>
      <c r="J111" s="2">
        <v>234</v>
      </c>
      <c r="K111" s="2">
        <v>232</v>
      </c>
    </row>
    <row r="112" spans="1:11" x14ac:dyDescent="0.25">
      <c r="A112" t="s">
        <v>32</v>
      </c>
      <c r="B112" t="s">
        <v>19</v>
      </c>
      <c r="C112" s="2" t="s">
        <v>6</v>
      </c>
      <c r="D112" s="2">
        <f t="shared" si="5"/>
        <v>2027</v>
      </c>
      <c r="E112" s="2" t="str">
        <f t="shared" si="7"/>
        <v>Mar</v>
      </c>
      <c r="F112" s="3">
        <f t="shared" si="6"/>
        <v>46447</v>
      </c>
      <c r="G112" s="3" t="s">
        <v>37</v>
      </c>
      <c r="H112" s="2">
        <v>56</v>
      </c>
      <c r="I112" s="2">
        <v>51</v>
      </c>
      <c r="J112" s="2">
        <v>253</v>
      </c>
      <c r="K112" s="2">
        <v>259</v>
      </c>
    </row>
    <row r="113" spans="1:11" x14ac:dyDescent="0.25">
      <c r="A113" t="s">
        <v>32</v>
      </c>
      <c r="B113" t="s">
        <v>19</v>
      </c>
      <c r="C113" s="2" t="s">
        <v>6</v>
      </c>
      <c r="D113" s="2">
        <f t="shared" si="5"/>
        <v>2027</v>
      </c>
      <c r="E113" s="2" t="str">
        <f t="shared" si="7"/>
        <v>Apr</v>
      </c>
      <c r="F113" s="3">
        <f t="shared" si="6"/>
        <v>46478</v>
      </c>
      <c r="G113" s="3" t="s">
        <v>37</v>
      </c>
      <c r="H113" s="2">
        <v>50</v>
      </c>
      <c r="I113" s="2">
        <v>45</v>
      </c>
      <c r="J113" s="2">
        <v>209</v>
      </c>
      <c r="K113" s="2">
        <v>221</v>
      </c>
    </row>
    <row r="114" spans="1:11" x14ac:dyDescent="0.25">
      <c r="A114" t="s">
        <v>32</v>
      </c>
      <c r="B114" t="s">
        <v>19</v>
      </c>
      <c r="C114" s="2" t="s">
        <v>6</v>
      </c>
      <c r="D114" s="2">
        <f t="shared" si="5"/>
        <v>2027</v>
      </c>
      <c r="E114" s="2" t="str">
        <f t="shared" si="7"/>
        <v>May</v>
      </c>
      <c r="F114" s="3">
        <f t="shared" si="6"/>
        <v>46508</v>
      </c>
      <c r="G114" s="3" t="s">
        <v>37</v>
      </c>
      <c r="H114" s="2">
        <v>52</v>
      </c>
      <c r="I114" s="2">
        <v>49</v>
      </c>
      <c r="J114" s="2">
        <v>181</v>
      </c>
      <c r="K114" s="2">
        <v>178</v>
      </c>
    </row>
    <row r="115" spans="1:11" x14ac:dyDescent="0.25">
      <c r="A115" t="s">
        <v>32</v>
      </c>
      <c r="B115" t="s">
        <v>19</v>
      </c>
      <c r="C115" s="2" t="s">
        <v>6</v>
      </c>
      <c r="D115" s="2">
        <f t="shared" si="5"/>
        <v>2027</v>
      </c>
      <c r="E115" s="2" t="str">
        <f t="shared" si="7"/>
        <v>Jun</v>
      </c>
      <c r="F115" s="3">
        <f t="shared" si="6"/>
        <v>46539</v>
      </c>
      <c r="G115" s="3" t="s">
        <v>37</v>
      </c>
      <c r="H115" s="2">
        <v>65</v>
      </c>
      <c r="I115" s="2">
        <v>68</v>
      </c>
      <c r="J115" s="2">
        <v>233</v>
      </c>
      <c r="K115" s="2">
        <v>230</v>
      </c>
    </row>
    <row r="116" spans="1:11" x14ac:dyDescent="0.25">
      <c r="A116" t="s">
        <v>32</v>
      </c>
      <c r="B116" t="s">
        <v>19</v>
      </c>
      <c r="C116" s="2" t="s">
        <v>6</v>
      </c>
      <c r="D116" s="2">
        <f t="shared" si="5"/>
        <v>2027</v>
      </c>
      <c r="E116" s="2" t="str">
        <f t="shared" si="7"/>
        <v>Jul</v>
      </c>
      <c r="F116" s="3">
        <f t="shared" si="6"/>
        <v>46569</v>
      </c>
      <c r="G116" s="3" t="s">
        <v>37</v>
      </c>
      <c r="H116" s="2">
        <v>59</v>
      </c>
      <c r="I116" s="2">
        <v>64</v>
      </c>
      <c r="J116" s="2">
        <v>253</v>
      </c>
      <c r="K116" s="2">
        <v>264</v>
      </c>
    </row>
    <row r="117" spans="1:11" x14ac:dyDescent="0.25">
      <c r="A117" t="s">
        <v>32</v>
      </c>
      <c r="B117" t="s">
        <v>19</v>
      </c>
      <c r="C117" s="2" t="s">
        <v>6</v>
      </c>
      <c r="D117" s="2">
        <f t="shared" si="5"/>
        <v>2027</v>
      </c>
      <c r="E117" s="2" t="str">
        <f t="shared" si="7"/>
        <v>Aug</v>
      </c>
      <c r="F117" s="3">
        <f t="shared" si="6"/>
        <v>46600</v>
      </c>
      <c r="G117" s="3" t="s">
        <v>37</v>
      </c>
      <c r="H117" s="2">
        <v>47</v>
      </c>
      <c r="I117" s="2">
        <v>42</v>
      </c>
      <c r="J117" s="2">
        <v>239</v>
      </c>
      <c r="K117" s="2">
        <v>257</v>
      </c>
    </row>
    <row r="118" spans="1:11" x14ac:dyDescent="0.25">
      <c r="A118" t="s">
        <v>32</v>
      </c>
      <c r="B118" t="s">
        <v>19</v>
      </c>
      <c r="C118" s="2" t="s">
        <v>6</v>
      </c>
      <c r="D118" s="2">
        <f t="shared" si="5"/>
        <v>2027</v>
      </c>
      <c r="E118" s="2" t="str">
        <f t="shared" si="7"/>
        <v>Sep</v>
      </c>
      <c r="F118" s="3">
        <f t="shared" si="6"/>
        <v>46631</v>
      </c>
      <c r="G118" s="3" t="s">
        <v>37</v>
      </c>
      <c r="H118" s="2">
        <v>50</v>
      </c>
      <c r="I118" s="2">
        <v>48</v>
      </c>
      <c r="J118" s="2">
        <v>195</v>
      </c>
      <c r="K118" s="2">
        <v>183</v>
      </c>
    </row>
    <row r="119" spans="1:11" x14ac:dyDescent="0.25">
      <c r="A119" t="s">
        <v>32</v>
      </c>
      <c r="B119" t="s">
        <v>19</v>
      </c>
      <c r="C119" s="2" t="s">
        <v>6</v>
      </c>
      <c r="D119" s="2">
        <f t="shared" si="5"/>
        <v>2027</v>
      </c>
      <c r="E119" s="2" t="str">
        <f t="shared" si="7"/>
        <v>Oct</v>
      </c>
      <c r="F119" s="3">
        <f t="shared" si="6"/>
        <v>46661</v>
      </c>
      <c r="G119" s="3" t="s">
        <v>37</v>
      </c>
      <c r="H119" s="2">
        <v>60</v>
      </c>
      <c r="I119" s="2">
        <v>65</v>
      </c>
      <c r="J119" s="2">
        <v>248</v>
      </c>
      <c r="K119" s="2">
        <v>259</v>
      </c>
    </row>
    <row r="120" spans="1:11" x14ac:dyDescent="0.25">
      <c r="A120" t="s">
        <v>32</v>
      </c>
      <c r="B120" t="s">
        <v>19</v>
      </c>
      <c r="C120" s="2" t="s">
        <v>6</v>
      </c>
      <c r="D120" s="2">
        <f t="shared" si="5"/>
        <v>2027</v>
      </c>
      <c r="E120" s="2" t="str">
        <f t="shared" si="7"/>
        <v>Nov</v>
      </c>
      <c r="F120" s="3">
        <f t="shared" si="6"/>
        <v>46692</v>
      </c>
      <c r="G120" s="3" t="s">
        <v>37</v>
      </c>
      <c r="H120" s="2">
        <v>62</v>
      </c>
      <c r="I120" s="2">
        <v>61</v>
      </c>
      <c r="J120" s="2">
        <v>273</v>
      </c>
      <c r="K120" s="2">
        <v>261</v>
      </c>
    </row>
    <row r="121" spans="1:11" x14ac:dyDescent="0.25">
      <c r="A121" t="s">
        <v>32</v>
      </c>
      <c r="B121" t="s">
        <v>19</v>
      </c>
      <c r="C121" s="2" t="s">
        <v>6</v>
      </c>
      <c r="D121" s="2">
        <f t="shared" si="5"/>
        <v>2027</v>
      </c>
      <c r="E121" s="2" t="str">
        <f t="shared" si="7"/>
        <v>Dec</v>
      </c>
      <c r="F121" s="3">
        <f t="shared" si="6"/>
        <v>46722</v>
      </c>
      <c r="G121" s="3" t="s">
        <v>37</v>
      </c>
      <c r="H121" s="2">
        <v>52</v>
      </c>
      <c r="I121" s="2">
        <v>57</v>
      </c>
      <c r="J121" s="2">
        <v>245</v>
      </c>
      <c r="K121" s="2">
        <v>230</v>
      </c>
    </row>
    <row r="122" spans="1:11" x14ac:dyDescent="0.25">
      <c r="A122" t="s">
        <v>33</v>
      </c>
      <c r="B122" t="s">
        <v>19</v>
      </c>
      <c r="C122" s="2" t="s">
        <v>5</v>
      </c>
      <c r="D122" s="2">
        <f>YEAR(F122)</f>
        <v>2023</v>
      </c>
      <c r="E122" s="2" t="str">
        <f>TEXT(F122,"mmm")</f>
        <v>Jan</v>
      </c>
      <c r="F122" s="3">
        <v>44927</v>
      </c>
      <c r="G122" s="3" t="s">
        <v>37</v>
      </c>
      <c r="H122" s="2">
        <v>60</v>
      </c>
      <c r="I122" s="2">
        <v>58</v>
      </c>
      <c r="J122" s="2">
        <v>183</v>
      </c>
      <c r="K122" s="2">
        <v>176</v>
      </c>
    </row>
    <row r="123" spans="1:11" x14ac:dyDescent="0.25">
      <c r="A123" t="s">
        <v>33</v>
      </c>
      <c r="B123" t="s">
        <v>19</v>
      </c>
      <c r="C123" s="2" t="s">
        <v>5</v>
      </c>
      <c r="D123" s="2">
        <f t="shared" ref="D123:D181" si="8">YEAR(F123)</f>
        <v>2023</v>
      </c>
      <c r="E123" s="2" t="str">
        <f t="shared" ref="E123:E181" si="9">TEXT(F123,"mmm")</f>
        <v>Feb</v>
      </c>
      <c r="F123" s="3">
        <f>EOMONTH(F122,0)+1</f>
        <v>44958</v>
      </c>
      <c r="G123" s="3" t="s">
        <v>37</v>
      </c>
      <c r="H123" s="2">
        <v>69</v>
      </c>
      <c r="I123" s="2">
        <v>66</v>
      </c>
      <c r="J123" s="2">
        <v>281</v>
      </c>
      <c r="K123" s="2">
        <v>277</v>
      </c>
    </row>
    <row r="124" spans="1:11" x14ac:dyDescent="0.25">
      <c r="A124" t="s">
        <v>33</v>
      </c>
      <c r="B124" t="s">
        <v>19</v>
      </c>
      <c r="C124" s="2" t="s">
        <v>5</v>
      </c>
      <c r="D124" s="2">
        <f t="shared" si="8"/>
        <v>2023</v>
      </c>
      <c r="E124" s="2" t="str">
        <f t="shared" si="9"/>
        <v>Mar</v>
      </c>
      <c r="F124" s="3">
        <f t="shared" ref="F124:F181" si="10">EOMONTH(F123,0)+1</f>
        <v>44986</v>
      </c>
      <c r="G124" s="3" t="s">
        <v>37</v>
      </c>
      <c r="H124" s="2">
        <v>42</v>
      </c>
      <c r="I124" s="2">
        <v>43</v>
      </c>
      <c r="J124" s="2">
        <v>280</v>
      </c>
      <c r="K124" s="2">
        <v>294</v>
      </c>
    </row>
    <row r="125" spans="1:11" x14ac:dyDescent="0.25">
      <c r="A125" t="s">
        <v>33</v>
      </c>
      <c r="B125" t="s">
        <v>19</v>
      </c>
      <c r="C125" s="2" t="s">
        <v>5</v>
      </c>
      <c r="D125" s="2">
        <f t="shared" si="8"/>
        <v>2023</v>
      </c>
      <c r="E125" s="2" t="str">
        <f t="shared" si="9"/>
        <v>Apr</v>
      </c>
      <c r="F125" s="3">
        <f t="shared" si="10"/>
        <v>45017</v>
      </c>
      <c r="G125" s="3" t="s">
        <v>37</v>
      </c>
      <c r="H125" s="2">
        <v>59</v>
      </c>
      <c r="I125" s="2">
        <v>61</v>
      </c>
      <c r="J125" s="2">
        <v>232</v>
      </c>
      <c r="K125" s="2">
        <v>230</v>
      </c>
    </row>
    <row r="126" spans="1:11" x14ac:dyDescent="0.25">
      <c r="A126" t="s">
        <v>33</v>
      </c>
      <c r="B126" t="s">
        <v>19</v>
      </c>
      <c r="C126" s="2" t="s">
        <v>5</v>
      </c>
      <c r="D126" s="2">
        <f t="shared" si="8"/>
        <v>2023</v>
      </c>
      <c r="E126" s="2" t="str">
        <f t="shared" si="9"/>
        <v>May</v>
      </c>
      <c r="F126" s="3">
        <f t="shared" si="10"/>
        <v>45047</v>
      </c>
      <c r="G126" s="3" t="s">
        <v>37</v>
      </c>
      <c r="H126" s="2">
        <v>84</v>
      </c>
      <c r="I126" s="2">
        <v>84</v>
      </c>
      <c r="J126" s="2">
        <v>203</v>
      </c>
      <c r="K126" s="2">
        <v>198</v>
      </c>
    </row>
    <row r="127" spans="1:11" x14ac:dyDescent="0.25">
      <c r="A127" t="s">
        <v>33</v>
      </c>
      <c r="B127" t="s">
        <v>19</v>
      </c>
      <c r="C127" s="2" t="s">
        <v>5</v>
      </c>
      <c r="D127" s="2">
        <f t="shared" si="8"/>
        <v>2023</v>
      </c>
      <c r="E127" s="2" t="str">
        <f t="shared" si="9"/>
        <v>Jun</v>
      </c>
      <c r="F127" s="3">
        <f t="shared" si="10"/>
        <v>45078</v>
      </c>
      <c r="G127" s="3" t="s">
        <v>37</v>
      </c>
      <c r="H127" s="2">
        <v>93</v>
      </c>
      <c r="I127" s="2">
        <v>101</v>
      </c>
      <c r="J127" s="2">
        <v>276</v>
      </c>
      <c r="K127" s="2">
        <v>287</v>
      </c>
    </row>
    <row r="128" spans="1:11" x14ac:dyDescent="0.25">
      <c r="A128" t="s">
        <v>33</v>
      </c>
      <c r="B128" t="s">
        <v>19</v>
      </c>
      <c r="C128" s="2" t="s">
        <v>5</v>
      </c>
      <c r="D128" s="2">
        <f t="shared" si="8"/>
        <v>2023</v>
      </c>
      <c r="E128" s="2" t="str">
        <f t="shared" si="9"/>
        <v>Jul</v>
      </c>
      <c r="F128" s="3">
        <f t="shared" si="10"/>
        <v>45108</v>
      </c>
      <c r="G128" s="3" t="s">
        <v>37</v>
      </c>
      <c r="H128" s="2">
        <v>93</v>
      </c>
      <c r="I128" s="2">
        <v>94</v>
      </c>
      <c r="J128" s="2">
        <v>214</v>
      </c>
      <c r="K128" s="2">
        <v>229</v>
      </c>
    </row>
    <row r="129" spans="1:11" x14ac:dyDescent="0.25">
      <c r="A129" t="s">
        <v>33</v>
      </c>
      <c r="B129" t="s">
        <v>19</v>
      </c>
      <c r="C129" s="2" t="s">
        <v>5</v>
      </c>
      <c r="D129" s="2">
        <f t="shared" si="8"/>
        <v>2023</v>
      </c>
      <c r="E129" s="2" t="str">
        <f t="shared" si="9"/>
        <v>Aug</v>
      </c>
      <c r="F129" s="3">
        <f t="shared" si="10"/>
        <v>45139</v>
      </c>
      <c r="G129" s="3" t="s">
        <v>37</v>
      </c>
      <c r="H129" s="2">
        <v>94</v>
      </c>
      <c r="I129" s="2">
        <v>96</v>
      </c>
      <c r="J129" s="2">
        <v>298</v>
      </c>
      <c r="K129" s="2">
        <v>302</v>
      </c>
    </row>
    <row r="130" spans="1:11" x14ac:dyDescent="0.25">
      <c r="A130" t="s">
        <v>33</v>
      </c>
      <c r="B130" t="s">
        <v>19</v>
      </c>
      <c r="C130" s="2" t="s">
        <v>5</v>
      </c>
      <c r="D130" s="2">
        <f t="shared" si="8"/>
        <v>2023</v>
      </c>
      <c r="E130" s="2" t="str">
        <f t="shared" si="9"/>
        <v>Sep</v>
      </c>
      <c r="F130" s="3">
        <f t="shared" si="10"/>
        <v>45170</v>
      </c>
      <c r="G130" s="3" t="s">
        <v>37</v>
      </c>
      <c r="H130" s="2">
        <v>95</v>
      </c>
      <c r="I130" s="2">
        <v>95</v>
      </c>
      <c r="J130" s="2">
        <v>292</v>
      </c>
      <c r="K130" s="2">
        <v>273</v>
      </c>
    </row>
    <row r="131" spans="1:11" x14ac:dyDescent="0.25">
      <c r="A131" t="s">
        <v>33</v>
      </c>
      <c r="B131" t="s">
        <v>19</v>
      </c>
      <c r="C131" s="2" t="s">
        <v>5</v>
      </c>
      <c r="D131" s="2">
        <f t="shared" si="8"/>
        <v>2023</v>
      </c>
      <c r="E131" s="2" t="str">
        <f t="shared" si="9"/>
        <v>Oct</v>
      </c>
      <c r="F131" s="3">
        <f t="shared" si="10"/>
        <v>45200</v>
      </c>
      <c r="G131" s="3" t="s">
        <v>37</v>
      </c>
      <c r="H131" s="2">
        <v>102</v>
      </c>
      <c r="I131" s="2">
        <v>94</v>
      </c>
      <c r="J131" s="2">
        <v>239</v>
      </c>
      <c r="K131" s="2">
        <v>228</v>
      </c>
    </row>
    <row r="132" spans="1:11" x14ac:dyDescent="0.25">
      <c r="A132" t="s">
        <v>33</v>
      </c>
      <c r="B132" t="s">
        <v>19</v>
      </c>
      <c r="C132" s="2" t="s">
        <v>5</v>
      </c>
      <c r="D132" s="2">
        <f t="shared" si="8"/>
        <v>2023</v>
      </c>
      <c r="E132" s="2" t="str">
        <f t="shared" si="9"/>
        <v>Nov</v>
      </c>
      <c r="F132" s="3">
        <f t="shared" si="10"/>
        <v>45231</v>
      </c>
      <c r="G132" s="3" t="s">
        <v>37</v>
      </c>
      <c r="H132" s="2">
        <v>61</v>
      </c>
      <c r="I132" s="2">
        <v>60</v>
      </c>
      <c r="J132" s="2">
        <v>238</v>
      </c>
      <c r="K132" s="2">
        <v>231</v>
      </c>
    </row>
    <row r="133" spans="1:11" x14ac:dyDescent="0.25">
      <c r="A133" t="s">
        <v>33</v>
      </c>
      <c r="B133" t="s">
        <v>19</v>
      </c>
      <c r="C133" s="2" t="s">
        <v>5</v>
      </c>
      <c r="D133" s="2">
        <f t="shared" si="8"/>
        <v>2023</v>
      </c>
      <c r="E133" s="2" t="str">
        <f t="shared" si="9"/>
        <v>Dec</v>
      </c>
      <c r="F133" s="3">
        <f t="shared" si="10"/>
        <v>45261</v>
      </c>
      <c r="G133" s="3" t="s">
        <v>37</v>
      </c>
      <c r="H133" s="2">
        <v>105</v>
      </c>
      <c r="I133" s="2">
        <v>95</v>
      </c>
      <c r="J133" s="2">
        <v>277</v>
      </c>
      <c r="K133" s="2">
        <v>274</v>
      </c>
    </row>
    <row r="134" spans="1:11" x14ac:dyDescent="0.25">
      <c r="A134" t="s">
        <v>33</v>
      </c>
      <c r="B134" t="s">
        <v>19</v>
      </c>
      <c r="C134" s="2" t="s">
        <v>5</v>
      </c>
      <c r="D134" s="2">
        <f t="shared" si="8"/>
        <v>2024</v>
      </c>
      <c r="E134" s="2" t="str">
        <f t="shared" si="9"/>
        <v>Jan</v>
      </c>
      <c r="F134" s="3">
        <f t="shared" si="10"/>
        <v>45292</v>
      </c>
      <c r="G134" s="3" t="s">
        <v>37</v>
      </c>
      <c r="H134" s="2">
        <v>68</v>
      </c>
      <c r="I134" s="2">
        <v>67</v>
      </c>
      <c r="J134" s="2">
        <v>197</v>
      </c>
      <c r="K134" s="2">
        <v>199</v>
      </c>
    </row>
    <row r="135" spans="1:11" x14ac:dyDescent="0.25">
      <c r="A135" t="s">
        <v>33</v>
      </c>
      <c r="B135" t="s">
        <v>19</v>
      </c>
      <c r="C135" s="2" t="s">
        <v>5</v>
      </c>
      <c r="D135" s="2">
        <f t="shared" si="8"/>
        <v>2024</v>
      </c>
      <c r="E135" s="2" t="str">
        <f t="shared" si="9"/>
        <v>Feb</v>
      </c>
      <c r="F135" s="3">
        <f t="shared" si="10"/>
        <v>45323</v>
      </c>
      <c r="G135" s="3" t="s">
        <v>37</v>
      </c>
      <c r="H135" s="2">
        <v>65</v>
      </c>
      <c r="I135" s="2">
        <v>66</v>
      </c>
      <c r="J135" s="2">
        <v>262</v>
      </c>
      <c r="K135" s="2">
        <v>267</v>
      </c>
    </row>
    <row r="136" spans="1:11" x14ac:dyDescent="0.25">
      <c r="A136" t="s">
        <v>33</v>
      </c>
      <c r="B136" t="s">
        <v>19</v>
      </c>
      <c r="C136" s="2" t="s">
        <v>5</v>
      </c>
      <c r="D136" s="2">
        <f t="shared" si="8"/>
        <v>2024</v>
      </c>
      <c r="E136" s="2" t="str">
        <f t="shared" si="9"/>
        <v>Mar</v>
      </c>
      <c r="F136" s="3">
        <f t="shared" si="10"/>
        <v>45352</v>
      </c>
      <c r="G136" s="3" t="s">
        <v>37</v>
      </c>
      <c r="H136" s="2">
        <v>53</v>
      </c>
      <c r="I136" s="2">
        <v>54</v>
      </c>
      <c r="J136" s="2">
        <v>293</v>
      </c>
      <c r="K136" s="2">
        <v>288</v>
      </c>
    </row>
    <row r="137" spans="1:11" x14ac:dyDescent="0.25">
      <c r="A137" t="s">
        <v>33</v>
      </c>
      <c r="B137" t="s">
        <v>19</v>
      </c>
      <c r="C137" s="2" t="s">
        <v>5</v>
      </c>
      <c r="D137" s="2">
        <f t="shared" si="8"/>
        <v>2024</v>
      </c>
      <c r="E137" s="2" t="str">
        <f t="shared" si="9"/>
        <v>Apr</v>
      </c>
      <c r="F137" s="3">
        <f t="shared" si="10"/>
        <v>45383</v>
      </c>
      <c r="G137" s="3" t="s">
        <v>37</v>
      </c>
      <c r="H137" s="2">
        <v>50</v>
      </c>
      <c r="I137" s="2">
        <v>50</v>
      </c>
      <c r="J137" s="2">
        <v>280</v>
      </c>
      <c r="K137" s="2">
        <v>300</v>
      </c>
    </row>
    <row r="138" spans="1:11" x14ac:dyDescent="0.25">
      <c r="A138" t="s">
        <v>33</v>
      </c>
      <c r="B138" t="s">
        <v>19</v>
      </c>
      <c r="C138" s="2" t="s">
        <v>5</v>
      </c>
      <c r="D138" s="2">
        <f t="shared" si="8"/>
        <v>2024</v>
      </c>
      <c r="E138" s="2" t="str">
        <f t="shared" si="9"/>
        <v>May</v>
      </c>
      <c r="F138" s="3">
        <f t="shared" si="10"/>
        <v>45413</v>
      </c>
      <c r="G138" s="3" t="s">
        <v>37</v>
      </c>
      <c r="H138" s="2">
        <v>52</v>
      </c>
      <c r="I138" s="2">
        <v>48</v>
      </c>
      <c r="J138" s="2">
        <v>288</v>
      </c>
      <c r="K138" s="2">
        <v>271</v>
      </c>
    </row>
    <row r="139" spans="1:11" x14ac:dyDescent="0.25">
      <c r="A139" t="s">
        <v>33</v>
      </c>
      <c r="B139" t="s">
        <v>19</v>
      </c>
      <c r="C139" s="2" t="s">
        <v>5</v>
      </c>
      <c r="D139" s="2">
        <f t="shared" si="8"/>
        <v>2024</v>
      </c>
      <c r="E139" s="2" t="str">
        <f t="shared" si="9"/>
        <v>Jun</v>
      </c>
      <c r="F139" s="3">
        <f t="shared" si="10"/>
        <v>45444</v>
      </c>
      <c r="G139" s="3" t="s">
        <v>37</v>
      </c>
      <c r="H139" s="2">
        <v>51</v>
      </c>
      <c r="I139" s="2">
        <v>52</v>
      </c>
      <c r="J139" s="2">
        <v>290</v>
      </c>
      <c r="K139" s="2">
        <v>287</v>
      </c>
    </row>
    <row r="140" spans="1:11" x14ac:dyDescent="0.25">
      <c r="A140" t="s">
        <v>33</v>
      </c>
      <c r="B140" t="s">
        <v>19</v>
      </c>
      <c r="C140" s="2" t="s">
        <v>5</v>
      </c>
      <c r="D140" s="2">
        <f t="shared" si="8"/>
        <v>2024</v>
      </c>
      <c r="E140" s="2" t="str">
        <f t="shared" si="9"/>
        <v>Jul</v>
      </c>
      <c r="F140" s="3">
        <f t="shared" si="10"/>
        <v>45474</v>
      </c>
      <c r="G140" s="3" t="s">
        <v>37</v>
      </c>
      <c r="H140" s="2">
        <v>61</v>
      </c>
      <c r="I140" s="2">
        <v>60</v>
      </c>
      <c r="J140" s="2">
        <v>258</v>
      </c>
      <c r="K140" s="2">
        <v>245</v>
      </c>
    </row>
    <row r="141" spans="1:11" x14ac:dyDescent="0.25">
      <c r="A141" t="s">
        <v>33</v>
      </c>
      <c r="B141" t="s">
        <v>19</v>
      </c>
      <c r="C141" s="2" t="s">
        <v>5</v>
      </c>
      <c r="D141" s="2">
        <f t="shared" si="8"/>
        <v>2024</v>
      </c>
      <c r="E141" s="2" t="str">
        <f t="shared" si="9"/>
        <v>Aug</v>
      </c>
      <c r="F141" s="3">
        <f t="shared" si="10"/>
        <v>45505</v>
      </c>
      <c r="G141" s="3" t="s">
        <v>37</v>
      </c>
      <c r="H141" s="2">
        <v>48</v>
      </c>
      <c r="I141" s="2">
        <v>52</v>
      </c>
      <c r="J141" s="2">
        <v>192</v>
      </c>
      <c r="K141" s="2">
        <v>194</v>
      </c>
    </row>
    <row r="142" spans="1:11" x14ac:dyDescent="0.25">
      <c r="A142" t="s">
        <v>33</v>
      </c>
      <c r="B142" t="s">
        <v>19</v>
      </c>
      <c r="C142" s="2" t="s">
        <v>5</v>
      </c>
      <c r="D142" s="2">
        <f t="shared" si="8"/>
        <v>2024</v>
      </c>
      <c r="E142" s="2" t="str">
        <f t="shared" si="9"/>
        <v>Sep</v>
      </c>
      <c r="F142" s="3">
        <f t="shared" si="10"/>
        <v>45536</v>
      </c>
      <c r="G142" s="3" t="s">
        <v>37</v>
      </c>
      <c r="H142" s="2">
        <v>56</v>
      </c>
      <c r="I142" s="2">
        <v>54</v>
      </c>
      <c r="J142" s="2">
        <v>295</v>
      </c>
      <c r="K142" s="2">
        <v>310</v>
      </c>
    </row>
    <row r="143" spans="1:11" x14ac:dyDescent="0.25">
      <c r="A143" t="s">
        <v>33</v>
      </c>
      <c r="B143" t="s">
        <v>19</v>
      </c>
      <c r="C143" s="2" t="s">
        <v>5</v>
      </c>
      <c r="D143" s="2">
        <f t="shared" si="8"/>
        <v>2024</v>
      </c>
      <c r="E143" s="2" t="str">
        <f t="shared" si="9"/>
        <v>Oct</v>
      </c>
      <c r="F143" s="3">
        <f t="shared" si="10"/>
        <v>45566</v>
      </c>
      <c r="G143" s="3" t="s">
        <v>37</v>
      </c>
      <c r="H143" s="2">
        <v>49</v>
      </c>
      <c r="I143" s="2">
        <v>47</v>
      </c>
      <c r="J143" s="2">
        <v>293</v>
      </c>
      <c r="K143" s="2">
        <v>282</v>
      </c>
    </row>
    <row r="144" spans="1:11" x14ac:dyDescent="0.25">
      <c r="A144" t="s">
        <v>33</v>
      </c>
      <c r="B144" t="s">
        <v>19</v>
      </c>
      <c r="C144" s="2" t="s">
        <v>5</v>
      </c>
      <c r="D144" s="2">
        <f t="shared" si="8"/>
        <v>2024</v>
      </c>
      <c r="E144" s="2" t="str">
        <f t="shared" si="9"/>
        <v>Nov</v>
      </c>
      <c r="F144" s="3">
        <f t="shared" si="10"/>
        <v>45597</v>
      </c>
      <c r="G144" s="3" t="s">
        <v>37</v>
      </c>
      <c r="H144" s="2">
        <v>42</v>
      </c>
      <c r="I144" s="2">
        <v>42</v>
      </c>
      <c r="J144" s="2">
        <v>202</v>
      </c>
      <c r="K144" s="2">
        <v>196</v>
      </c>
    </row>
    <row r="145" spans="1:11" x14ac:dyDescent="0.25">
      <c r="A145" t="s">
        <v>33</v>
      </c>
      <c r="B145" t="s">
        <v>19</v>
      </c>
      <c r="C145" s="2" t="s">
        <v>5</v>
      </c>
      <c r="D145" s="2">
        <f t="shared" si="8"/>
        <v>2024</v>
      </c>
      <c r="E145" s="2" t="str">
        <f t="shared" si="9"/>
        <v>Dec</v>
      </c>
      <c r="F145" s="3">
        <f t="shared" si="10"/>
        <v>45627</v>
      </c>
      <c r="G145" s="3" t="s">
        <v>37</v>
      </c>
      <c r="H145" s="2">
        <v>60</v>
      </c>
      <c r="I145" s="2">
        <v>64</v>
      </c>
      <c r="J145" s="2">
        <v>289</v>
      </c>
      <c r="K145" s="2">
        <v>273</v>
      </c>
    </row>
    <row r="146" spans="1:11" x14ac:dyDescent="0.25">
      <c r="A146" t="s">
        <v>33</v>
      </c>
      <c r="B146" t="s">
        <v>19</v>
      </c>
      <c r="C146" s="2" t="s">
        <v>6</v>
      </c>
      <c r="D146" s="2">
        <f t="shared" si="8"/>
        <v>2025</v>
      </c>
      <c r="E146" s="2" t="str">
        <f t="shared" si="9"/>
        <v>Jan</v>
      </c>
      <c r="F146" s="3">
        <f t="shared" si="10"/>
        <v>45658</v>
      </c>
      <c r="G146" s="3" t="s">
        <v>37</v>
      </c>
      <c r="H146" s="2">
        <v>62</v>
      </c>
      <c r="I146" s="2">
        <v>59</v>
      </c>
      <c r="J146" s="2">
        <v>298</v>
      </c>
      <c r="K146" s="2">
        <v>281</v>
      </c>
    </row>
    <row r="147" spans="1:11" x14ac:dyDescent="0.25">
      <c r="A147" t="s">
        <v>33</v>
      </c>
      <c r="B147" t="s">
        <v>19</v>
      </c>
      <c r="C147" s="2" t="s">
        <v>6</v>
      </c>
      <c r="D147" s="2">
        <f t="shared" si="8"/>
        <v>2025</v>
      </c>
      <c r="E147" s="2" t="str">
        <f t="shared" si="9"/>
        <v>Feb</v>
      </c>
      <c r="F147" s="3">
        <f t="shared" si="10"/>
        <v>45689</v>
      </c>
      <c r="G147" s="3" t="s">
        <v>37</v>
      </c>
      <c r="H147" s="2">
        <v>50</v>
      </c>
      <c r="I147" s="2">
        <v>47</v>
      </c>
      <c r="J147" s="2">
        <v>257</v>
      </c>
      <c r="K147" s="2">
        <v>276</v>
      </c>
    </row>
    <row r="148" spans="1:11" x14ac:dyDescent="0.25">
      <c r="A148" t="s">
        <v>33</v>
      </c>
      <c r="B148" t="s">
        <v>19</v>
      </c>
      <c r="C148" s="2" t="s">
        <v>6</v>
      </c>
      <c r="D148" s="2">
        <f t="shared" si="8"/>
        <v>2025</v>
      </c>
      <c r="E148" s="2" t="str">
        <f t="shared" si="9"/>
        <v>Mar</v>
      </c>
      <c r="F148" s="3">
        <f t="shared" si="10"/>
        <v>45717</v>
      </c>
      <c r="G148" s="3" t="s">
        <v>37</v>
      </c>
      <c r="H148" s="2">
        <v>59</v>
      </c>
      <c r="I148" s="2">
        <v>60</v>
      </c>
      <c r="J148" s="2">
        <v>259</v>
      </c>
      <c r="K148" s="2">
        <v>254</v>
      </c>
    </row>
    <row r="149" spans="1:11" x14ac:dyDescent="0.25">
      <c r="A149" t="s">
        <v>33</v>
      </c>
      <c r="B149" t="s">
        <v>19</v>
      </c>
      <c r="C149" s="2" t="s">
        <v>6</v>
      </c>
      <c r="D149" s="2">
        <f t="shared" si="8"/>
        <v>2025</v>
      </c>
      <c r="E149" s="2" t="str">
        <f t="shared" si="9"/>
        <v>Apr</v>
      </c>
      <c r="F149" s="3">
        <f t="shared" si="10"/>
        <v>45748</v>
      </c>
      <c r="G149" s="3" t="s">
        <v>37</v>
      </c>
      <c r="H149" s="2">
        <v>65</v>
      </c>
      <c r="I149" s="2">
        <v>71</v>
      </c>
      <c r="J149" s="2">
        <v>240</v>
      </c>
      <c r="K149" s="2">
        <v>240</v>
      </c>
    </row>
    <row r="150" spans="1:11" x14ac:dyDescent="0.25">
      <c r="A150" t="s">
        <v>33</v>
      </c>
      <c r="B150" t="s">
        <v>19</v>
      </c>
      <c r="C150" s="2" t="s">
        <v>6</v>
      </c>
      <c r="D150" s="2">
        <f t="shared" si="8"/>
        <v>2025</v>
      </c>
      <c r="E150" s="2" t="str">
        <f t="shared" si="9"/>
        <v>May</v>
      </c>
      <c r="F150" s="3">
        <f t="shared" si="10"/>
        <v>45778</v>
      </c>
      <c r="G150" s="3" t="s">
        <v>37</v>
      </c>
      <c r="H150" s="2">
        <v>84</v>
      </c>
      <c r="I150" s="2">
        <v>78</v>
      </c>
      <c r="J150" s="2">
        <v>258</v>
      </c>
      <c r="K150" s="2">
        <v>279</v>
      </c>
    </row>
    <row r="151" spans="1:11" x14ac:dyDescent="0.25">
      <c r="A151" t="s">
        <v>33</v>
      </c>
      <c r="B151" t="s">
        <v>19</v>
      </c>
      <c r="C151" s="2" t="s">
        <v>6</v>
      </c>
      <c r="D151" s="2">
        <f t="shared" si="8"/>
        <v>2025</v>
      </c>
      <c r="E151" s="2" t="str">
        <f t="shared" si="9"/>
        <v>Jun</v>
      </c>
      <c r="F151" s="3">
        <f t="shared" si="10"/>
        <v>45809</v>
      </c>
      <c r="G151" s="3" t="s">
        <v>37</v>
      </c>
      <c r="H151" s="2">
        <v>104</v>
      </c>
      <c r="I151" s="2">
        <v>105</v>
      </c>
      <c r="J151" s="2">
        <v>258</v>
      </c>
      <c r="K151" s="2">
        <v>277</v>
      </c>
    </row>
    <row r="152" spans="1:11" x14ac:dyDescent="0.25">
      <c r="A152" t="s">
        <v>33</v>
      </c>
      <c r="B152" t="s">
        <v>19</v>
      </c>
      <c r="C152" s="2" t="s">
        <v>6</v>
      </c>
      <c r="D152" s="2">
        <f t="shared" si="8"/>
        <v>2025</v>
      </c>
      <c r="E152" s="2" t="str">
        <f t="shared" si="9"/>
        <v>Jul</v>
      </c>
      <c r="F152" s="3">
        <f t="shared" si="10"/>
        <v>45839</v>
      </c>
      <c r="G152" s="3" t="s">
        <v>37</v>
      </c>
      <c r="H152" s="2">
        <v>65</v>
      </c>
      <c r="I152" s="2">
        <v>59</v>
      </c>
      <c r="J152" s="2">
        <v>226</v>
      </c>
      <c r="K152" s="2">
        <v>222</v>
      </c>
    </row>
    <row r="153" spans="1:11" x14ac:dyDescent="0.25">
      <c r="A153" t="s">
        <v>33</v>
      </c>
      <c r="B153" t="s">
        <v>19</v>
      </c>
      <c r="C153" s="2" t="s">
        <v>6</v>
      </c>
      <c r="D153" s="2">
        <f t="shared" si="8"/>
        <v>2025</v>
      </c>
      <c r="E153" s="2" t="str">
        <f t="shared" si="9"/>
        <v>Aug</v>
      </c>
      <c r="F153" s="3">
        <f t="shared" si="10"/>
        <v>45870</v>
      </c>
      <c r="G153" s="3" t="s">
        <v>37</v>
      </c>
      <c r="H153" s="2">
        <v>90</v>
      </c>
      <c r="I153" s="2">
        <v>93</v>
      </c>
      <c r="J153" s="2">
        <v>287</v>
      </c>
      <c r="K153" s="2">
        <v>271</v>
      </c>
    </row>
    <row r="154" spans="1:11" x14ac:dyDescent="0.25">
      <c r="A154" t="s">
        <v>33</v>
      </c>
      <c r="B154" t="s">
        <v>19</v>
      </c>
      <c r="C154" s="2" t="s">
        <v>6</v>
      </c>
      <c r="D154" s="2">
        <f t="shared" si="8"/>
        <v>2025</v>
      </c>
      <c r="E154" s="2" t="str">
        <f t="shared" si="9"/>
        <v>Sep</v>
      </c>
      <c r="F154" s="3">
        <f t="shared" si="10"/>
        <v>45901</v>
      </c>
      <c r="G154" s="3" t="s">
        <v>37</v>
      </c>
      <c r="H154" s="2">
        <v>96</v>
      </c>
      <c r="I154" s="2">
        <v>100</v>
      </c>
      <c r="J154" s="2">
        <v>186</v>
      </c>
      <c r="K154" s="2">
        <v>179</v>
      </c>
    </row>
    <row r="155" spans="1:11" x14ac:dyDescent="0.25">
      <c r="A155" t="s">
        <v>33</v>
      </c>
      <c r="B155" t="s">
        <v>19</v>
      </c>
      <c r="C155" s="2" t="s">
        <v>6</v>
      </c>
      <c r="D155" s="2">
        <f t="shared" si="8"/>
        <v>2025</v>
      </c>
      <c r="E155" s="2" t="str">
        <f t="shared" si="9"/>
        <v>Oct</v>
      </c>
      <c r="F155" s="3">
        <f t="shared" si="10"/>
        <v>45931</v>
      </c>
      <c r="G155" s="3" t="s">
        <v>37</v>
      </c>
      <c r="H155" s="2">
        <v>67</v>
      </c>
      <c r="I155" s="2">
        <v>63</v>
      </c>
      <c r="J155" s="2">
        <v>200</v>
      </c>
      <c r="K155" s="2">
        <v>206</v>
      </c>
    </row>
    <row r="156" spans="1:11" x14ac:dyDescent="0.25">
      <c r="A156" t="s">
        <v>33</v>
      </c>
      <c r="B156" t="s">
        <v>19</v>
      </c>
      <c r="C156" s="2" t="s">
        <v>6</v>
      </c>
      <c r="D156" s="2">
        <f t="shared" si="8"/>
        <v>2025</v>
      </c>
      <c r="E156" s="2" t="str">
        <f t="shared" si="9"/>
        <v>Nov</v>
      </c>
      <c r="F156" s="3">
        <f t="shared" si="10"/>
        <v>45962</v>
      </c>
      <c r="G156" s="3" t="s">
        <v>37</v>
      </c>
      <c r="H156" s="2">
        <v>72</v>
      </c>
      <c r="I156" s="2">
        <v>68</v>
      </c>
      <c r="J156" s="2">
        <v>240</v>
      </c>
      <c r="K156" s="2">
        <v>257</v>
      </c>
    </row>
    <row r="157" spans="1:11" x14ac:dyDescent="0.25">
      <c r="A157" t="s">
        <v>33</v>
      </c>
      <c r="B157" t="s">
        <v>19</v>
      </c>
      <c r="C157" s="2" t="s">
        <v>6</v>
      </c>
      <c r="D157" s="2">
        <f t="shared" si="8"/>
        <v>2025</v>
      </c>
      <c r="E157" s="2" t="str">
        <f t="shared" si="9"/>
        <v>Dec</v>
      </c>
      <c r="F157" s="3">
        <f t="shared" si="10"/>
        <v>45992</v>
      </c>
      <c r="G157" s="3" t="s">
        <v>37</v>
      </c>
      <c r="H157" s="2">
        <v>92</v>
      </c>
      <c r="I157" s="2">
        <v>94</v>
      </c>
      <c r="J157" s="2">
        <v>184</v>
      </c>
      <c r="K157" s="2">
        <v>177</v>
      </c>
    </row>
    <row r="158" spans="1:11" x14ac:dyDescent="0.25">
      <c r="A158" t="s">
        <v>33</v>
      </c>
      <c r="B158" t="s">
        <v>19</v>
      </c>
      <c r="C158" s="2" t="s">
        <v>6</v>
      </c>
      <c r="D158" s="2">
        <f t="shared" si="8"/>
        <v>2026</v>
      </c>
      <c r="E158" s="2" t="str">
        <f t="shared" si="9"/>
        <v>Jan</v>
      </c>
      <c r="F158" s="3">
        <f t="shared" si="10"/>
        <v>46023</v>
      </c>
      <c r="G158" s="3" t="s">
        <v>37</v>
      </c>
      <c r="H158" s="2">
        <v>96</v>
      </c>
      <c r="I158" s="2">
        <v>101</v>
      </c>
      <c r="J158" s="2">
        <v>272</v>
      </c>
      <c r="K158" s="2">
        <v>270</v>
      </c>
    </row>
    <row r="159" spans="1:11" x14ac:dyDescent="0.25">
      <c r="A159" t="s">
        <v>33</v>
      </c>
      <c r="B159" t="s">
        <v>19</v>
      </c>
      <c r="C159" s="2" t="s">
        <v>6</v>
      </c>
      <c r="D159" s="2">
        <f t="shared" si="8"/>
        <v>2026</v>
      </c>
      <c r="E159" s="2" t="str">
        <f t="shared" si="9"/>
        <v>Feb</v>
      </c>
      <c r="F159" s="3">
        <f t="shared" si="10"/>
        <v>46054</v>
      </c>
      <c r="G159" s="3" t="s">
        <v>37</v>
      </c>
      <c r="H159" s="2">
        <v>74</v>
      </c>
      <c r="I159" s="2">
        <v>78</v>
      </c>
      <c r="J159" s="2">
        <v>234</v>
      </c>
      <c r="K159" s="2">
        <v>232</v>
      </c>
    </row>
    <row r="160" spans="1:11" x14ac:dyDescent="0.25">
      <c r="A160" t="s">
        <v>33</v>
      </c>
      <c r="B160" t="s">
        <v>19</v>
      </c>
      <c r="C160" s="2" t="s">
        <v>6</v>
      </c>
      <c r="D160" s="2">
        <f t="shared" si="8"/>
        <v>2026</v>
      </c>
      <c r="E160" s="2" t="str">
        <f t="shared" si="9"/>
        <v>Mar</v>
      </c>
      <c r="F160" s="3">
        <f t="shared" si="10"/>
        <v>46082</v>
      </c>
      <c r="G160" s="3" t="s">
        <v>37</v>
      </c>
      <c r="H160" s="2">
        <v>56</v>
      </c>
      <c r="I160" s="2">
        <v>51</v>
      </c>
      <c r="J160" s="2">
        <v>253</v>
      </c>
      <c r="K160" s="2">
        <v>259</v>
      </c>
    </row>
    <row r="161" spans="1:11" x14ac:dyDescent="0.25">
      <c r="A161" t="s">
        <v>33</v>
      </c>
      <c r="B161" t="s">
        <v>19</v>
      </c>
      <c r="C161" s="2" t="s">
        <v>6</v>
      </c>
      <c r="D161" s="2">
        <f t="shared" si="8"/>
        <v>2026</v>
      </c>
      <c r="E161" s="2" t="str">
        <f t="shared" si="9"/>
        <v>Apr</v>
      </c>
      <c r="F161" s="3">
        <f t="shared" si="10"/>
        <v>46113</v>
      </c>
      <c r="G161" s="3" t="s">
        <v>37</v>
      </c>
      <c r="H161" s="2">
        <v>50</v>
      </c>
      <c r="I161" s="2">
        <v>45</v>
      </c>
      <c r="J161" s="2">
        <v>209</v>
      </c>
      <c r="K161" s="2">
        <v>221</v>
      </c>
    </row>
    <row r="162" spans="1:11" x14ac:dyDescent="0.25">
      <c r="A162" t="s">
        <v>33</v>
      </c>
      <c r="B162" t="s">
        <v>19</v>
      </c>
      <c r="C162" s="2" t="s">
        <v>6</v>
      </c>
      <c r="D162" s="2">
        <f t="shared" si="8"/>
        <v>2026</v>
      </c>
      <c r="E162" s="2" t="str">
        <f t="shared" si="9"/>
        <v>May</v>
      </c>
      <c r="F162" s="3">
        <f t="shared" si="10"/>
        <v>46143</v>
      </c>
      <c r="G162" s="3" t="s">
        <v>37</v>
      </c>
      <c r="H162" s="2">
        <v>52</v>
      </c>
      <c r="I162" s="2">
        <v>49</v>
      </c>
      <c r="J162" s="2">
        <v>181</v>
      </c>
      <c r="K162" s="2">
        <v>178</v>
      </c>
    </row>
    <row r="163" spans="1:11" x14ac:dyDescent="0.25">
      <c r="A163" t="s">
        <v>33</v>
      </c>
      <c r="B163" t="s">
        <v>19</v>
      </c>
      <c r="C163" s="2" t="s">
        <v>6</v>
      </c>
      <c r="D163" s="2">
        <f t="shared" si="8"/>
        <v>2026</v>
      </c>
      <c r="E163" s="2" t="str">
        <f t="shared" si="9"/>
        <v>Jun</v>
      </c>
      <c r="F163" s="3">
        <f t="shared" si="10"/>
        <v>46174</v>
      </c>
      <c r="G163" s="3" t="s">
        <v>37</v>
      </c>
      <c r="H163" s="2">
        <v>65</v>
      </c>
      <c r="I163" s="2">
        <v>68</v>
      </c>
      <c r="J163" s="2">
        <v>233</v>
      </c>
      <c r="K163" s="2">
        <v>230</v>
      </c>
    </row>
    <row r="164" spans="1:11" x14ac:dyDescent="0.25">
      <c r="A164" t="s">
        <v>33</v>
      </c>
      <c r="B164" t="s">
        <v>19</v>
      </c>
      <c r="C164" s="2" t="s">
        <v>6</v>
      </c>
      <c r="D164" s="2">
        <f t="shared" si="8"/>
        <v>2026</v>
      </c>
      <c r="E164" s="2" t="str">
        <f t="shared" si="9"/>
        <v>Jul</v>
      </c>
      <c r="F164" s="3">
        <f t="shared" si="10"/>
        <v>46204</v>
      </c>
      <c r="G164" s="3" t="s">
        <v>37</v>
      </c>
      <c r="H164" s="2">
        <v>59</v>
      </c>
      <c r="I164" s="2">
        <v>64</v>
      </c>
      <c r="J164" s="2">
        <v>253</v>
      </c>
      <c r="K164" s="2">
        <v>264</v>
      </c>
    </row>
    <row r="165" spans="1:11" x14ac:dyDescent="0.25">
      <c r="A165" t="s">
        <v>33</v>
      </c>
      <c r="B165" t="s">
        <v>19</v>
      </c>
      <c r="C165" s="2" t="s">
        <v>6</v>
      </c>
      <c r="D165" s="2">
        <f t="shared" si="8"/>
        <v>2026</v>
      </c>
      <c r="E165" s="2" t="str">
        <f t="shared" si="9"/>
        <v>Aug</v>
      </c>
      <c r="F165" s="3">
        <f t="shared" si="10"/>
        <v>46235</v>
      </c>
      <c r="G165" s="3" t="s">
        <v>37</v>
      </c>
      <c r="H165" s="2">
        <v>47</v>
      </c>
      <c r="I165" s="2">
        <v>42</v>
      </c>
      <c r="J165" s="2">
        <v>239</v>
      </c>
      <c r="K165" s="2">
        <v>257</v>
      </c>
    </row>
    <row r="166" spans="1:11" x14ac:dyDescent="0.25">
      <c r="A166" t="s">
        <v>33</v>
      </c>
      <c r="B166" t="s">
        <v>19</v>
      </c>
      <c r="C166" s="2" t="s">
        <v>6</v>
      </c>
      <c r="D166" s="2">
        <f t="shared" si="8"/>
        <v>2026</v>
      </c>
      <c r="E166" s="2" t="str">
        <f t="shared" si="9"/>
        <v>Sep</v>
      </c>
      <c r="F166" s="3">
        <f t="shared" si="10"/>
        <v>46266</v>
      </c>
      <c r="G166" s="3" t="s">
        <v>37</v>
      </c>
      <c r="H166" s="2">
        <v>50</v>
      </c>
      <c r="I166" s="2">
        <v>48</v>
      </c>
      <c r="J166" s="2">
        <v>195</v>
      </c>
      <c r="K166" s="2">
        <v>183</v>
      </c>
    </row>
    <row r="167" spans="1:11" x14ac:dyDescent="0.25">
      <c r="A167" t="s">
        <v>33</v>
      </c>
      <c r="B167" t="s">
        <v>19</v>
      </c>
      <c r="C167" s="2" t="s">
        <v>6</v>
      </c>
      <c r="D167" s="2">
        <f t="shared" si="8"/>
        <v>2026</v>
      </c>
      <c r="E167" s="2" t="str">
        <f t="shared" si="9"/>
        <v>Oct</v>
      </c>
      <c r="F167" s="3">
        <f t="shared" si="10"/>
        <v>46296</v>
      </c>
      <c r="G167" s="3" t="s">
        <v>37</v>
      </c>
      <c r="H167" s="2">
        <v>60</v>
      </c>
      <c r="I167" s="2">
        <v>65</v>
      </c>
      <c r="J167" s="2">
        <v>248</v>
      </c>
      <c r="K167" s="2">
        <v>259</v>
      </c>
    </row>
    <row r="168" spans="1:11" x14ac:dyDescent="0.25">
      <c r="A168" t="s">
        <v>33</v>
      </c>
      <c r="B168" t="s">
        <v>19</v>
      </c>
      <c r="C168" s="2" t="s">
        <v>6</v>
      </c>
      <c r="D168" s="2">
        <f t="shared" si="8"/>
        <v>2026</v>
      </c>
      <c r="E168" s="2" t="str">
        <f t="shared" si="9"/>
        <v>Nov</v>
      </c>
      <c r="F168" s="3">
        <f t="shared" si="10"/>
        <v>46327</v>
      </c>
      <c r="G168" s="3" t="s">
        <v>37</v>
      </c>
      <c r="H168" s="2">
        <v>62</v>
      </c>
      <c r="I168" s="2">
        <v>61</v>
      </c>
      <c r="J168" s="2">
        <v>273</v>
      </c>
      <c r="K168" s="2">
        <v>261</v>
      </c>
    </row>
    <row r="169" spans="1:11" x14ac:dyDescent="0.25">
      <c r="A169" t="s">
        <v>33</v>
      </c>
      <c r="B169" t="s">
        <v>19</v>
      </c>
      <c r="C169" s="2" t="s">
        <v>6</v>
      </c>
      <c r="D169" s="2">
        <f t="shared" si="8"/>
        <v>2026</v>
      </c>
      <c r="E169" s="2" t="str">
        <f t="shared" si="9"/>
        <v>Dec</v>
      </c>
      <c r="F169" s="3">
        <f t="shared" si="10"/>
        <v>46357</v>
      </c>
      <c r="G169" s="3" t="s">
        <v>37</v>
      </c>
      <c r="H169" s="2">
        <v>52</v>
      </c>
      <c r="I169" s="2">
        <v>57</v>
      </c>
      <c r="J169" s="2">
        <v>245</v>
      </c>
      <c r="K169" s="2">
        <v>230</v>
      </c>
    </row>
    <row r="170" spans="1:11" x14ac:dyDescent="0.25">
      <c r="A170" t="s">
        <v>33</v>
      </c>
      <c r="B170" t="s">
        <v>19</v>
      </c>
      <c r="C170" s="2" t="s">
        <v>6</v>
      </c>
      <c r="D170" s="2">
        <f t="shared" si="8"/>
        <v>2027</v>
      </c>
      <c r="E170" s="2" t="str">
        <f t="shared" si="9"/>
        <v>Jan</v>
      </c>
      <c r="F170" s="3">
        <f t="shared" si="10"/>
        <v>46388</v>
      </c>
      <c r="G170" s="3" t="s">
        <v>37</v>
      </c>
      <c r="H170" s="2">
        <v>96</v>
      </c>
      <c r="I170" s="2">
        <v>101</v>
      </c>
      <c r="J170" s="2">
        <v>272</v>
      </c>
      <c r="K170" s="2">
        <v>270</v>
      </c>
    </row>
    <row r="171" spans="1:11" x14ac:dyDescent="0.25">
      <c r="A171" t="s">
        <v>33</v>
      </c>
      <c r="B171" t="s">
        <v>19</v>
      </c>
      <c r="C171" s="2" t="s">
        <v>6</v>
      </c>
      <c r="D171" s="2">
        <f t="shared" si="8"/>
        <v>2027</v>
      </c>
      <c r="E171" s="2" t="str">
        <f t="shared" si="9"/>
        <v>Feb</v>
      </c>
      <c r="F171" s="3">
        <f t="shared" si="10"/>
        <v>46419</v>
      </c>
      <c r="G171" s="3" t="s">
        <v>37</v>
      </c>
      <c r="H171" s="2">
        <v>74</v>
      </c>
      <c r="I171" s="2">
        <v>78</v>
      </c>
      <c r="J171" s="2">
        <v>234</v>
      </c>
      <c r="K171" s="2">
        <v>232</v>
      </c>
    </row>
    <row r="172" spans="1:11" x14ac:dyDescent="0.25">
      <c r="A172" t="s">
        <v>33</v>
      </c>
      <c r="B172" t="s">
        <v>19</v>
      </c>
      <c r="C172" s="2" t="s">
        <v>6</v>
      </c>
      <c r="D172" s="2">
        <f t="shared" si="8"/>
        <v>2027</v>
      </c>
      <c r="E172" s="2" t="str">
        <f t="shared" si="9"/>
        <v>Mar</v>
      </c>
      <c r="F172" s="3">
        <f t="shared" si="10"/>
        <v>46447</v>
      </c>
      <c r="G172" s="3" t="s">
        <v>37</v>
      </c>
      <c r="H172" s="2">
        <v>56</v>
      </c>
      <c r="I172" s="2">
        <v>51</v>
      </c>
      <c r="J172" s="2">
        <v>253</v>
      </c>
      <c r="K172" s="2">
        <v>259</v>
      </c>
    </row>
    <row r="173" spans="1:11" x14ac:dyDescent="0.25">
      <c r="A173" t="s">
        <v>33</v>
      </c>
      <c r="B173" t="s">
        <v>19</v>
      </c>
      <c r="C173" s="2" t="s">
        <v>6</v>
      </c>
      <c r="D173" s="2">
        <f t="shared" si="8"/>
        <v>2027</v>
      </c>
      <c r="E173" s="2" t="str">
        <f t="shared" si="9"/>
        <v>Apr</v>
      </c>
      <c r="F173" s="3">
        <f t="shared" si="10"/>
        <v>46478</v>
      </c>
      <c r="G173" s="3" t="s">
        <v>37</v>
      </c>
      <c r="H173" s="2">
        <v>50</v>
      </c>
      <c r="I173" s="2">
        <v>45</v>
      </c>
      <c r="J173" s="2">
        <v>209</v>
      </c>
      <c r="K173" s="2">
        <v>221</v>
      </c>
    </row>
    <row r="174" spans="1:11" x14ac:dyDescent="0.25">
      <c r="A174" t="s">
        <v>33</v>
      </c>
      <c r="B174" t="s">
        <v>19</v>
      </c>
      <c r="C174" s="2" t="s">
        <v>6</v>
      </c>
      <c r="D174" s="2">
        <f t="shared" si="8"/>
        <v>2027</v>
      </c>
      <c r="E174" s="2" t="str">
        <f t="shared" si="9"/>
        <v>May</v>
      </c>
      <c r="F174" s="3">
        <f t="shared" si="10"/>
        <v>46508</v>
      </c>
      <c r="G174" s="3" t="s">
        <v>37</v>
      </c>
      <c r="H174" s="2">
        <v>52</v>
      </c>
      <c r="I174" s="2">
        <v>49</v>
      </c>
      <c r="J174" s="2">
        <v>181</v>
      </c>
      <c r="K174" s="2">
        <v>178</v>
      </c>
    </row>
    <row r="175" spans="1:11" x14ac:dyDescent="0.25">
      <c r="A175" t="s">
        <v>33</v>
      </c>
      <c r="B175" t="s">
        <v>19</v>
      </c>
      <c r="C175" s="2" t="s">
        <v>6</v>
      </c>
      <c r="D175" s="2">
        <f t="shared" si="8"/>
        <v>2027</v>
      </c>
      <c r="E175" s="2" t="str">
        <f t="shared" si="9"/>
        <v>Jun</v>
      </c>
      <c r="F175" s="3">
        <f t="shared" si="10"/>
        <v>46539</v>
      </c>
      <c r="G175" s="3" t="s">
        <v>37</v>
      </c>
      <c r="H175" s="2">
        <v>65</v>
      </c>
      <c r="I175" s="2">
        <v>68</v>
      </c>
      <c r="J175" s="2">
        <v>233</v>
      </c>
      <c r="K175" s="2">
        <v>230</v>
      </c>
    </row>
    <row r="176" spans="1:11" x14ac:dyDescent="0.25">
      <c r="A176" t="s">
        <v>33</v>
      </c>
      <c r="B176" t="s">
        <v>19</v>
      </c>
      <c r="C176" s="2" t="s">
        <v>6</v>
      </c>
      <c r="D176" s="2">
        <f t="shared" si="8"/>
        <v>2027</v>
      </c>
      <c r="E176" s="2" t="str">
        <f t="shared" si="9"/>
        <v>Jul</v>
      </c>
      <c r="F176" s="3">
        <f t="shared" si="10"/>
        <v>46569</v>
      </c>
      <c r="G176" s="3" t="s">
        <v>37</v>
      </c>
      <c r="H176" s="2">
        <v>59</v>
      </c>
      <c r="I176" s="2">
        <v>64</v>
      </c>
      <c r="J176" s="2">
        <v>253</v>
      </c>
      <c r="K176" s="2">
        <v>264</v>
      </c>
    </row>
    <row r="177" spans="1:11" x14ac:dyDescent="0.25">
      <c r="A177" t="s">
        <v>33</v>
      </c>
      <c r="B177" t="s">
        <v>19</v>
      </c>
      <c r="C177" s="2" t="s">
        <v>6</v>
      </c>
      <c r="D177" s="2">
        <f t="shared" si="8"/>
        <v>2027</v>
      </c>
      <c r="E177" s="2" t="str">
        <f t="shared" si="9"/>
        <v>Aug</v>
      </c>
      <c r="F177" s="3">
        <f t="shared" si="10"/>
        <v>46600</v>
      </c>
      <c r="G177" s="3" t="s">
        <v>37</v>
      </c>
      <c r="H177" s="2">
        <v>47</v>
      </c>
      <c r="I177" s="2">
        <v>42</v>
      </c>
      <c r="J177" s="2">
        <v>239</v>
      </c>
      <c r="K177" s="2">
        <v>257</v>
      </c>
    </row>
    <row r="178" spans="1:11" x14ac:dyDescent="0.25">
      <c r="A178" t="s">
        <v>33</v>
      </c>
      <c r="B178" t="s">
        <v>19</v>
      </c>
      <c r="C178" s="2" t="s">
        <v>6</v>
      </c>
      <c r="D178" s="2">
        <f t="shared" si="8"/>
        <v>2027</v>
      </c>
      <c r="E178" s="2" t="str">
        <f t="shared" si="9"/>
        <v>Sep</v>
      </c>
      <c r="F178" s="3">
        <f t="shared" si="10"/>
        <v>46631</v>
      </c>
      <c r="G178" s="3" t="s">
        <v>37</v>
      </c>
      <c r="H178" s="2">
        <v>50</v>
      </c>
      <c r="I178" s="2">
        <v>48</v>
      </c>
      <c r="J178" s="2">
        <v>195</v>
      </c>
      <c r="K178" s="2">
        <v>183</v>
      </c>
    </row>
    <row r="179" spans="1:11" x14ac:dyDescent="0.25">
      <c r="A179" t="s">
        <v>33</v>
      </c>
      <c r="B179" t="s">
        <v>19</v>
      </c>
      <c r="C179" s="2" t="s">
        <v>6</v>
      </c>
      <c r="D179" s="2">
        <f t="shared" si="8"/>
        <v>2027</v>
      </c>
      <c r="E179" s="2" t="str">
        <f t="shared" si="9"/>
        <v>Oct</v>
      </c>
      <c r="F179" s="3">
        <f t="shared" si="10"/>
        <v>46661</v>
      </c>
      <c r="G179" s="3" t="s">
        <v>37</v>
      </c>
      <c r="H179" s="2">
        <v>60</v>
      </c>
      <c r="I179" s="2">
        <v>65</v>
      </c>
      <c r="J179" s="2">
        <v>248</v>
      </c>
      <c r="K179" s="2">
        <v>259</v>
      </c>
    </row>
    <row r="180" spans="1:11" x14ac:dyDescent="0.25">
      <c r="A180" t="s">
        <v>33</v>
      </c>
      <c r="B180" t="s">
        <v>19</v>
      </c>
      <c r="C180" s="2" t="s">
        <v>6</v>
      </c>
      <c r="D180" s="2">
        <f t="shared" si="8"/>
        <v>2027</v>
      </c>
      <c r="E180" s="2" t="str">
        <f t="shared" si="9"/>
        <v>Nov</v>
      </c>
      <c r="F180" s="3">
        <f t="shared" si="10"/>
        <v>46692</v>
      </c>
      <c r="G180" s="3" t="s">
        <v>37</v>
      </c>
      <c r="H180" s="2">
        <v>62</v>
      </c>
      <c r="I180" s="2">
        <v>61</v>
      </c>
      <c r="J180" s="2">
        <v>273</v>
      </c>
      <c r="K180" s="2">
        <v>261</v>
      </c>
    </row>
    <row r="181" spans="1:11" x14ac:dyDescent="0.25">
      <c r="A181" t="s">
        <v>33</v>
      </c>
      <c r="B181" t="s">
        <v>19</v>
      </c>
      <c r="C181" s="2" t="s">
        <v>6</v>
      </c>
      <c r="D181" s="2">
        <f t="shared" si="8"/>
        <v>2027</v>
      </c>
      <c r="E181" s="2" t="str">
        <f t="shared" si="9"/>
        <v>Dec</v>
      </c>
      <c r="F181" s="3">
        <f t="shared" si="10"/>
        <v>46722</v>
      </c>
      <c r="G181" s="3" t="s">
        <v>37</v>
      </c>
      <c r="H181" s="2">
        <v>52</v>
      </c>
      <c r="I181" s="2">
        <v>57</v>
      </c>
      <c r="J181" s="2">
        <v>245</v>
      </c>
      <c r="K181" s="2">
        <v>230</v>
      </c>
    </row>
    <row r="182" spans="1:11" x14ac:dyDescent="0.25">
      <c r="A182" t="s">
        <v>29</v>
      </c>
      <c r="B182" t="s">
        <v>22</v>
      </c>
      <c r="C182" s="2" t="s">
        <v>5</v>
      </c>
      <c r="D182" s="2">
        <f>YEAR(F182)</f>
        <v>2023</v>
      </c>
      <c r="E182" s="2" t="str">
        <f>TEXT(F182,"mmm")</f>
        <v>Jan</v>
      </c>
      <c r="F182" s="3">
        <v>44927</v>
      </c>
      <c r="G182" s="3" t="s">
        <v>37</v>
      </c>
      <c r="H182" s="2">
        <v>60</v>
      </c>
      <c r="I182" s="2">
        <v>58</v>
      </c>
      <c r="J182" s="2">
        <v>183</v>
      </c>
      <c r="K182" s="2">
        <v>176</v>
      </c>
    </row>
    <row r="183" spans="1:11" x14ac:dyDescent="0.25">
      <c r="A183" t="s">
        <v>29</v>
      </c>
      <c r="B183" t="s">
        <v>22</v>
      </c>
      <c r="C183" s="2" t="s">
        <v>5</v>
      </c>
      <c r="D183" s="2">
        <f t="shared" ref="D183:D241" si="11">YEAR(F183)</f>
        <v>2023</v>
      </c>
      <c r="E183" s="2" t="str">
        <f t="shared" ref="E183:E246" si="12">TEXT(F183,"mmm")</f>
        <v>Feb</v>
      </c>
      <c r="F183" s="3">
        <f>EOMONTH(F182,0)+1</f>
        <v>44958</v>
      </c>
      <c r="G183" s="3" t="s">
        <v>37</v>
      </c>
      <c r="H183" s="2">
        <v>69</v>
      </c>
      <c r="I183" s="2">
        <v>66</v>
      </c>
      <c r="J183" s="2">
        <v>281</v>
      </c>
      <c r="K183" s="2">
        <v>277</v>
      </c>
    </row>
    <row r="184" spans="1:11" x14ac:dyDescent="0.25">
      <c r="A184" t="s">
        <v>29</v>
      </c>
      <c r="B184" t="s">
        <v>22</v>
      </c>
      <c r="C184" s="2" t="s">
        <v>5</v>
      </c>
      <c r="D184" s="2">
        <f t="shared" si="11"/>
        <v>2023</v>
      </c>
      <c r="E184" s="2" t="str">
        <f t="shared" si="12"/>
        <v>Mar</v>
      </c>
      <c r="F184" s="3">
        <f t="shared" ref="F184:F241" si="13">EOMONTH(F183,0)+1</f>
        <v>44986</v>
      </c>
      <c r="G184" s="3" t="s">
        <v>37</v>
      </c>
      <c r="H184" s="2">
        <v>42</v>
      </c>
      <c r="I184" s="2">
        <v>43</v>
      </c>
      <c r="J184" s="2">
        <v>280</v>
      </c>
      <c r="K184" s="2">
        <v>294</v>
      </c>
    </row>
    <row r="185" spans="1:11" x14ac:dyDescent="0.25">
      <c r="A185" t="s">
        <v>29</v>
      </c>
      <c r="B185" t="s">
        <v>22</v>
      </c>
      <c r="C185" s="2" t="s">
        <v>5</v>
      </c>
      <c r="D185" s="2">
        <f t="shared" si="11"/>
        <v>2023</v>
      </c>
      <c r="E185" s="2" t="str">
        <f t="shared" si="12"/>
        <v>Apr</v>
      </c>
      <c r="F185" s="3">
        <f t="shared" si="13"/>
        <v>45017</v>
      </c>
      <c r="G185" s="3" t="s">
        <v>37</v>
      </c>
      <c r="H185" s="2">
        <v>59</v>
      </c>
      <c r="I185" s="2">
        <v>61</v>
      </c>
      <c r="J185" s="2">
        <v>232</v>
      </c>
      <c r="K185" s="2">
        <v>230</v>
      </c>
    </row>
    <row r="186" spans="1:11" x14ac:dyDescent="0.25">
      <c r="A186" t="s">
        <v>29</v>
      </c>
      <c r="B186" t="s">
        <v>22</v>
      </c>
      <c r="C186" s="2" t="s">
        <v>5</v>
      </c>
      <c r="D186" s="2">
        <f t="shared" si="11"/>
        <v>2023</v>
      </c>
      <c r="E186" s="2" t="str">
        <f t="shared" si="12"/>
        <v>May</v>
      </c>
      <c r="F186" s="3">
        <f t="shared" si="13"/>
        <v>45047</v>
      </c>
      <c r="G186" s="3" t="s">
        <v>37</v>
      </c>
      <c r="H186" s="2">
        <v>84</v>
      </c>
      <c r="I186" s="2">
        <v>84</v>
      </c>
      <c r="J186" s="2">
        <v>203</v>
      </c>
      <c r="K186" s="2">
        <v>198</v>
      </c>
    </row>
    <row r="187" spans="1:11" x14ac:dyDescent="0.25">
      <c r="A187" t="s">
        <v>29</v>
      </c>
      <c r="B187" t="s">
        <v>22</v>
      </c>
      <c r="C187" s="2" t="s">
        <v>5</v>
      </c>
      <c r="D187" s="2">
        <f t="shared" si="11"/>
        <v>2023</v>
      </c>
      <c r="E187" s="2" t="str">
        <f t="shared" si="12"/>
        <v>Jun</v>
      </c>
      <c r="F187" s="3">
        <f t="shared" si="13"/>
        <v>45078</v>
      </c>
      <c r="G187" s="3" t="s">
        <v>37</v>
      </c>
      <c r="H187" s="2">
        <v>93</v>
      </c>
      <c r="I187" s="2">
        <v>101</v>
      </c>
      <c r="J187" s="2">
        <v>276</v>
      </c>
      <c r="K187" s="2">
        <v>287</v>
      </c>
    </row>
    <row r="188" spans="1:11" x14ac:dyDescent="0.25">
      <c r="A188" t="s">
        <v>29</v>
      </c>
      <c r="B188" t="s">
        <v>22</v>
      </c>
      <c r="C188" s="2" t="s">
        <v>5</v>
      </c>
      <c r="D188" s="2">
        <f t="shared" si="11"/>
        <v>2023</v>
      </c>
      <c r="E188" s="2" t="str">
        <f t="shared" si="12"/>
        <v>Jul</v>
      </c>
      <c r="F188" s="3">
        <f t="shared" si="13"/>
        <v>45108</v>
      </c>
      <c r="G188" s="3" t="s">
        <v>37</v>
      </c>
      <c r="H188" s="2">
        <v>93</v>
      </c>
      <c r="I188" s="2">
        <v>94</v>
      </c>
      <c r="J188" s="2">
        <v>214</v>
      </c>
      <c r="K188" s="2">
        <v>229</v>
      </c>
    </row>
    <row r="189" spans="1:11" x14ac:dyDescent="0.25">
      <c r="A189" t="s">
        <v>29</v>
      </c>
      <c r="B189" t="s">
        <v>22</v>
      </c>
      <c r="C189" s="2" t="s">
        <v>5</v>
      </c>
      <c r="D189" s="2">
        <f t="shared" si="11"/>
        <v>2023</v>
      </c>
      <c r="E189" s="2" t="str">
        <f t="shared" si="12"/>
        <v>Aug</v>
      </c>
      <c r="F189" s="3">
        <f t="shared" si="13"/>
        <v>45139</v>
      </c>
      <c r="G189" s="3" t="s">
        <v>37</v>
      </c>
      <c r="H189" s="2">
        <v>94</v>
      </c>
      <c r="I189" s="2">
        <v>96</v>
      </c>
      <c r="J189" s="2">
        <v>298</v>
      </c>
      <c r="K189" s="2">
        <v>302</v>
      </c>
    </row>
    <row r="190" spans="1:11" x14ac:dyDescent="0.25">
      <c r="A190" t="s">
        <v>29</v>
      </c>
      <c r="B190" t="s">
        <v>22</v>
      </c>
      <c r="C190" s="2" t="s">
        <v>5</v>
      </c>
      <c r="D190" s="2">
        <f t="shared" si="11"/>
        <v>2023</v>
      </c>
      <c r="E190" s="2" t="str">
        <f t="shared" si="12"/>
        <v>Sep</v>
      </c>
      <c r="F190" s="3">
        <f t="shared" si="13"/>
        <v>45170</v>
      </c>
      <c r="G190" s="3" t="s">
        <v>37</v>
      </c>
      <c r="H190" s="2">
        <v>95</v>
      </c>
      <c r="I190" s="2">
        <v>95</v>
      </c>
      <c r="J190" s="2">
        <v>292</v>
      </c>
      <c r="K190" s="2">
        <v>273</v>
      </c>
    </row>
    <row r="191" spans="1:11" x14ac:dyDescent="0.25">
      <c r="A191" t="s">
        <v>29</v>
      </c>
      <c r="B191" t="s">
        <v>22</v>
      </c>
      <c r="C191" s="2" t="s">
        <v>5</v>
      </c>
      <c r="D191" s="2">
        <f t="shared" si="11"/>
        <v>2023</v>
      </c>
      <c r="E191" s="2" t="str">
        <f t="shared" si="12"/>
        <v>Oct</v>
      </c>
      <c r="F191" s="3">
        <f t="shared" si="13"/>
        <v>45200</v>
      </c>
      <c r="G191" s="3" t="s">
        <v>37</v>
      </c>
      <c r="H191" s="2">
        <v>102</v>
      </c>
      <c r="I191" s="2">
        <v>94</v>
      </c>
      <c r="J191" s="2">
        <v>239</v>
      </c>
      <c r="K191" s="2">
        <v>228</v>
      </c>
    </row>
    <row r="192" spans="1:11" x14ac:dyDescent="0.25">
      <c r="A192" t="s">
        <v>29</v>
      </c>
      <c r="B192" t="s">
        <v>22</v>
      </c>
      <c r="C192" s="2" t="s">
        <v>5</v>
      </c>
      <c r="D192" s="2">
        <f t="shared" si="11"/>
        <v>2023</v>
      </c>
      <c r="E192" s="2" t="str">
        <f t="shared" si="12"/>
        <v>Nov</v>
      </c>
      <c r="F192" s="3">
        <f t="shared" si="13"/>
        <v>45231</v>
      </c>
      <c r="G192" s="3" t="s">
        <v>37</v>
      </c>
      <c r="H192" s="2">
        <v>61</v>
      </c>
      <c r="I192" s="2">
        <v>60</v>
      </c>
      <c r="J192" s="2">
        <v>238</v>
      </c>
      <c r="K192" s="2">
        <v>231</v>
      </c>
    </row>
    <row r="193" spans="1:11" x14ac:dyDescent="0.25">
      <c r="A193" t="s">
        <v>29</v>
      </c>
      <c r="B193" t="s">
        <v>22</v>
      </c>
      <c r="C193" s="2" t="s">
        <v>5</v>
      </c>
      <c r="D193" s="2">
        <f t="shared" si="11"/>
        <v>2023</v>
      </c>
      <c r="E193" s="2" t="str">
        <f t="shared" si="12"/>
        <v>Dec</v>
      </c>
      <c r="F193" s="3">
        <f t="shared" si="13"/>
        <v>45261</v>
      </c>
      <c r="G193" s="3" t="s">
        <v>37</v>
      </c>
      <c r="H193" s="2">
        <v>105</v>
      </c>
      <c r="I193" s="2">
        <v>95</v>
      </c>
      <c r="J193" s="2">
        <v>277</v>
      </c>
      <c r="K193" s="2">
        <v>274</v>
      </c>
    </row>
    <row r="194" spans="1:11" x14ac:dyDescent="0.25">
      <c r="A194" t="s">
        <v>29</v>
      </c>
      <c r="B194" t="s">
        <v>22</v>
      </c>
      <c r="C194" s="2" t="s">
        <v>5</v>
      </c>
      <c r="D194" s="2">
        <f t="shared" si="11"/>
        <v>2024</v>
      </c>
      <c r="E194" s="2" t="str">
        <f t="shared" si="12"/>
        <v>Jan</v>
      </c>
      <c r="F194" s="3">
        <f t="shared" si="13"/>
        <v>45292</v>
      </c>
      <c r="G194" s="3" t="s">
        <v>37</v>
      </c>
      <c r="H194" s="2">
        <v>68</v>
      </c>
      <c r="I194" s="2">
        <v>67</v>
      </c>
      <c r="J194" s="2">
        <v>197</v>
      </c>
      <c r="K194" s="2">
        <v>199</v>
      </c>
    </row>
    <row r="195" spans="1:11" x14ac:dyDescent="0.25">
      <c r="A195" t="s">
        <v>29</v>
      </c>
      <c r="B195" t="s">
        <v>22</v>
      </c>
      <c r="C195" s="2" t="s">
        <v>5</v>
      </c>
      <c r="D195" s="2">
        <f t="shared" si="11"/>
        <v>2024</v>
      </c>
      <c r="E195" s="2" t="str">
        <f t="shared" si="12"/>
        <v>Feb</v>
      </c>
      <c r="F195" s="3">
        <f t="shared" si="13"/>
        <v>45323</v>
      </c>
      <c r="G195" s="3" t="s">
        <v>37</v>
      </c>
      <c r="H195" s="2">
        <v>65</v>
      </c>
      <c r="I195" s="2">
        <v>66</v>
      </c>
      <c r="J195" s="2">
        <v>262</v>
      </c>
      <c r="K195" s="2">
        <v>267</v>
      </c>
    </row>
    <row r="196" spans="1:11" x14ac:dyDescent="0.25">
      <c r="A196" t="s">
        <v>29</v>
      </c>
      <c r="B196" t="s">
        <v>22</v>
      </c>
      <c r="C196" s="2" t="s">
        <v>5</v>
      </c>
      <c r="D196" s="2">
        <f t="shared" si="11"/>
        <v>2024</v>
      </c>
      <c r="E196" s="2" t="str">
        <f t="shared" si="12"/>
        <v>Mar</v>
      </c>
      <c r="F196" s="3">
        <f t="shared" si="13"/>
        <v>45352</v>
      </c>
      <c r="G196" s="3" t="s">
        <v>37</v>
      </c>
      <c r="H196" s="2">
        <v>53</v>
      </c>
      <c r="I196" s="2">
        <v>54</v>
      </c>
      <c r="J196" s="2">
        <v>293</v>
      </c>
      <c r="K196" s="2">
        <v>288</v>
      </c>
    </row>
    <row r="197" spans="1:11" x14ac:dyDescent="0.25">
      <c r="A197" t="s">
        <v>29</v>
      </c>
      <c r="B197" t="s">
        <v>22</v>
      </c>
      <c r="C197" s="2" t="s">
        <v>5</v>
      </c>
      <c r="D197" s="2">
        <f t="shared" si="11"/>
        <v>2024</v>
      </c>
      <c r="E197" s="2" t="str">
        <f t="shared" si="12"/>
        <v>Apr</v>
      </c>
      <c r="F197" s="3">
        <f t="shared" si="13"/>
        <v>45383</v>
      </c>
      <c r="G197" s="3" t="s">
        <v>37</v>
      </c>
      <c r="H197" s="2">
        <v>50</v>
      </c>
      <c r="I197" s="2">
        <v>50</v>
      </c>
      <c r="J197" s="2">
        <v>280</v>
      </c>
      <c r="K197" s="2">
        <v>300</v>
      </c>
    </row>
    <row r="198" spans="1:11" x14ac:dyDescent="0.25">
      <c r="A198" t="s">
        <v>29</v>
      </c>
      <c r="B198" t="s">
        <v>22</v>
      </c>
      <c r="C198" s="2" t="s">
        <v>5</v>
      </c>
      <c r="D198" s="2">
        <f t="shared" si="11"/>
        <v>2024</v>
      </c>
      <c r="E198" s="2" t="str">
        <f t="shared" si="12"/>
        <v>May</v>
      </c>
      <c r="F198" s="3">
        <f t="shared" si="13"/>
        <v>45413</v>
      </c>
      <c r="G198" s="3" t="s">
        <v>37</v>
      </c>
      <c r="H198" s="2">
        <v>52</v>
      </c>
      <c r="I198" s="2">
        <v>48</v>
      </c>
      <c r="J198" s="2">
        <v>288</v>
      </c>
      <c r="K198" s="2">
        <v>271</v>
      </c>
    </row>
    <row r="199" spans="1:11" x14ac:dyDescent="0.25">
      <c r="A199" t="s">
        <v>29</v>
      </c>
      <c r="B199" t="s">
        <v>22</v>
      </c>
      <c r="C199" s="2" t="s">
        <v>5</v>
      </c>
      <c r="D199" s="2">
        <f t="shared" si="11"/>
        <v>2024</v>
      </c>
      <c r="E199" s="2" t="str">
        <f t="shared" si="12"/>
        <v>Jun</v>
      </c>
      <c r="F199" s="3">
        <f t="shared" si="13"/>
        <v>45444</v>
      </c>
      <c r="G199" s="3" t="s">
        <v>37</v>
      </c>
      <c r="H199" s="2">
        <v>51</v>
      </c>
      <c r="I199" s="2">
        <v>52</v>
      </c>
      <c r="J199" s="2">
        <v>290</v>
      </c>
      <c r="K199" s="2">
        <v>287</v>
      </c>
    </row>
    <row r="200" spans="1:11" x14ac:dyDescent="0.25">
      <c r="A200" t="s">
        <v>29</v>
      </c>
      <c r="B200" t="s">
        <v>22</v>
      </c>
      <c r="C200" s="2" t="s">
        <v>5</v>
      </c>
      <c r="D200" s="2">
        <f t="shared" si="11"/>
        <v>2024</v>
      </c>
      <c r="E200" s="2" t="str">
        <f t="shared" si="12"/>
        <v>Jul</v>
      </c>
      <c r="F200" s="3">
        <f t="shared" si="13"/>
        <v>45474</v>
      </c>
      <c r="G200" s="3" t="s">
        <v>37</v>
      </c>
      <c r="H200" s="2">
        <v>61</v>
      </c>
      <c r="I200" s="2">
        <v>60</v>
      </c>
      <c r="J200" s="2">
        <v>258</v>
      </c>
      <c r="K200" s="2">
        <v>245</v>
      </c>
    </row>
    <row r="201" spans="1:11" x14ac:dyDescent="0.25">
      <c r="A201" t="s">
        <v>29</v>
      </c>
      <c r="B201" t="s">
        <v>22</v>
      </c>
      <c r="C201" s="2" t="s">
        <v>5</v>
      </c>
      <c r="D201" s="2">
        <f t="shared" si="11"/>
        <v>2024</v>
      </c>
      <c r="E201" s="2" t="str">
        <f t="shared" si="12"/>
        <v>Aug</v>
      </c>
      <c r="F201" s="3">
        <f t="shared" si="13"/>
        <v>45505</v>
      </c>
      <c r="G201" s="3" t="s">
        <v>37</v>
      </c>
      <c r="H201" s="2">
        <v>48</v>
      </c>
      <c r="I201" s="2">
        <v>52</v>
      </c>
      <c r="J201" s="2">
        <v>192</v>
      </c>
      <c r="K201" s="2">
        <v>194</v>
      </c>
    </row>
    <row r="202" spans="1:11" x14ac:dyDescent="0.25">
      <c r="A202" t="s">
        <v>29</v>
      </c>
      <c r="B202" t="s">
        <v>22</v>
      </c>
      <c r="C202" s="2" t="s">
        <v>5</v>
      </c>
      <c r="D202" s="2">
        <f t="shared" si="11"/>
        <v>2024</v>
      </c>
      <c r="E202" s="2" t="str">
        <f t="shared" si="12"/>
        <v>Sep</v>
      </c>
      <c r="F202" s="3">
        <f t="shared" si="13"/>
        <v>45536</v>
      </c>
      <c r="G202" s="3" t="s">
        <v>37</v>
      </c>
      <c r="H202" s="2">
        <v>56</v>
      </c>
      <c r="I202" s="2">
        <v>54</v>
      </c>
      <c r="J202" s="2">
        <v>295</v>
      </c>
      <c r="K202" s="2">
        <v>310</v>
      </c>
    </row>
    <row r="203" spans="1:11" x14ac:dyDescent="0.25">
      <c r="A203" t="s">
        <v>29</v>
      </c>
      <c r="B203" t="s">
        <v>22</v>
      </c>
      <c r="C203" s="2" t="s">
        <v>5</v>
      </c>
      <c r="D203" s="2">
        <f t="shared" si="11"/>
        <v>2024</v>
      </c>
      <c r="E203" s="2" t="str">
        <f t="shared" si="12"/>
        <v>Oct</v>
      </c>
      <c r="F203" s="3">
        <f t="shared" si="13"/>
        <v>45566</v>
      </c>
      <c r="G203" s="3" t="s">
        <v>37</v>
      </c>
      <c r="H203" s="2">
        <v>49</v>
      </c>
      <c r="I203" s="2">
        <v>47</v>
      </c>
      <c r="J203" s="2">
        <v>293</v>
      </c>
      <c r="K203" s="2">
        <v>282</v>
      </c>
    </row>
    <row r="204" spans="1:11" x14ac:dyDescent="0.25">
      <c r="A204" t="s">
        <v>29</v>
      </c>
      <c r="B204" t="s">
        <v>22</v>
      </c>
      <c r="C204" s="2" t="s">
        <v>5</v>
      </c>
      <c r="D204" s="2">
        <f t="shared" si="11"/>
        <v>2024</v>
      </c>
      <c r="E204" s="2" t="str">
        <f t="shared" si="12"/>
        <v>Nov</v>
      </c>
      <c r="F204" s="3">
        <f t="shared" si="13"/>
        <v>45597</v>
      </c>
      <c r="G204" s="3" t="s">
        <v>37</v>
      </c>
      <c r="H204" s="2">
        <v>42</v>
      </c>
      <c r="I204" s="2">
        <v>42</v>
      </c>
      <c r="J204" s="2">
        <v>202</v>
      </c>
      <c r="K204" s="2">
        <v>196</v>
      </c>
    </row>
    <row r="205" spans="1:11" x14ac:dyDescent="0.25">
      <c r="A205" t="s">
        <v>29</v>
      </c>
      <c r="B205" t="s">
        <v>22</v>
      </c>
      <c r="C205" s="2" t="s">
        <v>5</v>
      </c>
      <c r="D205" s="2">
        <f t="shared" si="11"/>
        <v>2024</v>
      </c>
      <c r="E205" s="2" t="str">
        <f t="shared" si="12"/>
        <v>Dec</v>
      </c>
      <c r="F205" s="3">
        <f t="shared" si="13"/>
        <v>45627</v>
      </c>
      <c r="G205" s="3" t="s">
        <v>37</v>
      </c>
      <c r="H205" s="2">
        <v>60</v>
      </c>
      <c r="I205" s="2">
        <v>64</v>
      </c>
      <c r="J205" s="2">
        <v>289</v>
      </c>
      <c r="K205" s="2">
        <v>273</v>
      </c>
    </row>
    <row r="206" spans="1:11" x14ac:dyDescent="0.25">
      <c r="A206" t="s">
        <v>29</v>
      </c>
      <c r="B206" t="s">
        <v>22</v>
      </c>
      <c r="C206" s="2" t="s">
        <v>6</v>
      </c>
      <c r="D206" s="2">
        <f t="shared" si="11"/>
        <v>2025</v>
      </c>
      <c r="E206" s="2" t="str">
        <f t="shared" si="12"/>
        <v>Jan</v>
      </c>
      <c r="F206" s="3">
        <f t="shared" si="13"/>
        <v>45658</v>
      </c>
      <c r="G206" s="3" t="s">
        <v>37</v>
      </c>
      <c r="H206" s="2">
        <v>62</v>
      </c>
      <c r="I206" s="2">
        <v>59</v>
      </c>
      <c r="J206" s="2">
        <v>298</v>
      </c>
      <c r="K206" s="2">
        <v>281</v>
      </c>
    </row>
    <row r="207" spans="1:11" x14ac:dyDescent="0.25">
      <c r="A207" t="s">
        <v>29</v>
      </c>
      <c r="B207" t="s">
        <v>22</v>
      </c>
      <c r="C207" s="2" t="s">
        <v>6</v>
      </c>
      <c r="D207" s="2">
        <f t="shared" si="11"/>
        <v>2025</v>
      </c>
      <c r="E207" s="2" t="str">
        <f t="shared" si="12"/>
        <v>Feb</v>
      </c>
      <c r="F207" s="3">
        <f t="shared" si="13"/>
        <v>45689</v>
      </c>
      <c r="G207" s="3" t="s">
        <v>37</v>
      </c>
      <c r="H207" s="2">
        <v>50</v>
      </c>
      <c r="I207" s="2">
        <v>47</v>
      </c>
      <c r="J207" s="2">
        <v>257</v>
      </c>
      <c r="K207" s="2">
        <v>276</v>
      </c>
    </row>
    <row r="208" spans="1:11" x14ac:dyDescent="0.25">
      <c r="A208" t="s">
        <v>29</v>
      </c>
      <c r="B208" t="s">
        <v>22</v>
      </c>
      <c r="C208" s="2" t="s">
        <v>6</v>
      </c>
      <c r="D208" s="2">
        <f t="shared" si="11"/>
        <v>2025</v>
      </c>
      <c r="E208" s="2" t="str">
        <f t="shared" si="12"/>
        <v>Mar</v>
      </c>
      <c r="F208" s="3">
        <f t="shared" si="13"/>
        <v>45717</v>
      </c>
      <c r="G208" s="3" t="s">
        <v>37</v>
      </c>
      <c r="H208" s="2">
        <v>59</v>
      </c>
      <c r="I208" s="2">
        <v>60</v>
      </c>
      <c r="J208" s="2">
        <v>259</v>
      </c>
      <c r="K208" s="2">
        <v>254</v>
      </c>
    </row>
    <row r="209" spans="1:11" x14ac:dyDescent="0.25">
      <c r="A209" t="s">
        <v>29</v>
      </c>
      <c r="B209" t="s">
        <v>22</v>
      </c>
      <c r="C209" s="2" t="s">
        <v>6</v>
      </c>
      <c r="D209" s="2">
        <f t="shared" si="11"/>
        <v>2025</v>
      </c>
      <c r="E209" s="2" t="str">
        <f t="shared" si="12"/>
        <v>Apr</v>
      </c>
      <c r="F209" s="3">
        <f t="shared" si="13"/>
        <v>45748</v>
      </c>
      <c r="G209" s="3" t="s">
        <v>37</v>
      </c>
      <c r="H209" s="2">
        <v>65</v>
      </c>
      <c r="I209" s="2">
        <v>71</v>
      </c>
      <c r="J209" s="2">
        <v>240</v>
      </c>
      <c r="K209" s="2">
        <v>240</v>
      </c>
    </row>
    <row r="210" spans="1:11" x14ac:dyDescent="0.25">
      <c r="A210" t="s">
        <v>29</v>
      </c>
      <c r="B210" t="s">
        <v>22</v>
      </c>
      <c r="C210" s="2" t="s">
        <v>6</v>
      </c>
      <c r="D210" s="2">
        <f t="shared" si="11"/>
        <v>2025</v>
      </c>
      <c r="E210" s="2" t="str">
        <f t="shared" si="12"/>
        <v>May</v>
      </c>
      <c r="F210" s="3">
        <f t="shared" si="13"/>
        <v>45778</v>
      </c>
      <c r="G210" s="3" t="s">
        <v>37</v>
      </c>
      <c r="H210" s="2">
        <v>84</v>
      </c>
      <c r="I210" s="2">
        <v>78</v>
      </c>
      <c r="J210" s="2">
        <v>258</v>
      </c>
      <c r="K210" s="2">
        <v>279</v>
      </c>
    </row>
    <row r="211" spans="1:11" x14ac:dyDescent="0.25">
      <c r="A211" t="s">
        <v>29</v>
      </c>
      <c r="B211" t="s">
        <v>22</v>
      </c>
      <c r="C211" s="2" t="s">
        <v>6</v>
      </c>
      <c r="D211" s="2">
        <f t="shared" si="11"/>
        <v>2025</v>
      </c>
      <c r="E211" s="2" t="str">
        <f t="shared" si="12"/>
        <v>Jun</v>
      </c>
      <c r="F211" s="3">
        <f t="shared" si="13"/>
        <v>45809</v>
      </c>
      <c r="G211" s="3" t="s">
        <v>37</v>
      </c>
      <c r="H211" s="2">
        <v>104</v>
      </c>
      <c r="I211" s="2">
        <v>105</v>
      </c>
      <c r="J211" s="2">
        <v>258</v>
      </c>
      <c r="K211" s="2">
        <v>277</v>
      </c>
    </row>
    <row r="212" spans="1:11" x14ac:dyDescent="0.25">
      <c r="A212" t="s">
        <v>29</v>
      </c>
      <c r="B212" t="s">
        <v>22</v>
      </c>
      <c r="C212" s="2" t="s">
        <v>6</v>
      </c>
      <c r="D212" s="2">
        <f t="shared" si="11"/>
        <v>2025</v>
      </c>
      <c r="E212" s="2" t="str">
        <f t="shared" si="12"/>
        <v>Jul</v>
      </c>
      <c r="F212" s="3">
        <f t="shared" si="13"/>
        <v>45839</v>
      </c>
      <c r="G212" s="3" t="s">
        <v>37</v>
      </c>
      <c r="H212" s="2">
        <v>65</v>
      </c>
      <c r="I212" s="2">
        <v>59</v>
      </c>
      <c r="J212" s="2">
        <v>226</v>
      </c>
      <c r="K212" s="2">
        <v>222</v>
      </c>
    </row>
    <row r="213" spans="1:11" x14ac:dyDescent="0.25">
      <c r="A213" t="s">
        <v>29</v>
      </c>
      <c r="B213" t="s">
        <v>22</v>
      </c>
      <c r="C213" s="2" t="s">
        <v>6</v>
      </c>
      <c r="D213" s="2">
        <f t="shared" si="11"/>
        <v>2025</v>
      </c>
      <c r="E213" s="2" t="str">
        <f t="shared" si="12"/>
        <v>Aug</v>
      </c>
      <c r="F213" s="3">
        <f t="shared" si="13"/>
        <v>45870</v>
      </c>
      <c r="G213" s="3" t="s">
        <v>37</v>
      </c>
      <c r="H213" s="2">
        <v>90</v>
      </c>
      <c r="I213" s="2">
        <v>93</v>
      </c>
      <c r="J213" s="2">
        <v>287</v>
      </c>
      <c r="K213" s="2">
        <v>271</v>
      </c>
    </row>
    <row r="214" spans="1:11" x14ac:dyDescent="0.25">
      <c r="A214" t="s">
        <v>29</v>
      </c>
      <c r="B214" t="s">
        <v>22</v>
      </c>
      <c r="C214" s="2" t="s">
        <v>6</v>
      </c>
      <c r="D214" s="2">
        <f t="shared" si="11"/>
        <v>2025</v>
      </c>
      <c r="E214" s="2" t="str">
        <f t="shared" si="12"/>
        <v>Sep</v>
      </c>
      <c r="F214" s="3">
        <f t="shared" si="13"/>
        <v>45901</v>
      </c>
      <c r="G214" s="3" t="s">
        <v>37</v>
      </c>
      <c r="H214" s="2">
        <v>96</v>
      </c>
      <c r="I214" s="2">
        <v>100</v>
      </c>
      <c r="J214" s="2">
        <v>186</v>
      </c>
      <c r="K214" s="2">
        <v>179</v>
      </c>
    </row>
    <row r="215" spans="1:11" x14ac:dyDescent="0.25">
      <c r="A215" t="s">
        <v>29</v>
      </c>
      <c r="B215" t="s">
        <v>22</v>
      </c>
      <c r="C215" s="2" t="s">
        <v>6</v>
      </c>
      <c r="D215" s="2">
        <f t="shared" si="11"/>
        <v>2025</v>
      </c>
      <c r="E215" s="2" t="str">
        <f t="shared" si="12"/>
        <v>Oct</v>
      </c>
      <c r="F215" s="3">
        <f t="shared" si="13"/>
        <v>45931</v>
      </c>
      <c r="G215" s="3" t="s">
        <v>37</v>
      </c>
      <c r="H215" s="2">
        <v>67</v>
      </c>
      <c r="I215" s="2">
        <v>63</v>
      </c>
      <c r="J215" s="2">
        <v>200</v>
      </c>
      <c r="K215" s="2">
        <v>206</v>
      </c>
    </row>
    <row r="216" spans="1:11" x14ac:dyDescent="0.25">
      <c r="A216" t="s">
        <v>29</v>
      </c>
      <c r="B216" t="s">
        <v>22</v>
      </c>
      <c r="C216" s="2" t="s">
        <v>6</v>
      </c>
      <c r="D216" s="2">
        <f t="shared" si="11"/>
        <v>2025</v>
      </c>
      <c r="E216" s="2" t="str">
        <f t="shared" si="12"/>
        <v>Nov</v>
      </c>
      <c r="F216" s="3">
        <f t="shared" si="13"/>
        <v>45962</v>
      </c>
      <c r="G216" s="3" t="s">
        <v>37</v>
      </c>
      <c r="H216" s="2">
        <v>72</v>
      </c>
      <c r="I216" s="2">
        <v>68</v>
      </c>
      <c r="J216" s="2">
        <v>240</v>
      </c>
      <c r="K216" s="2">
        <v>257</v>
      </c>
    </row>
    <row r="217" spans="1:11" x14ac:dyDescent="0.25">
      <c r="A217" t="s">
        <v>29</v>
      </c>
      <c r="B217" t="s">
        <v>22</v>
      </c>
      <c r="C217" s="2" t="s">
        <v>6</v>
      </c>
      <c r="D217" s="2">
        <f t="shared" si="11"/>
        <v>2025</v>
      </c>
      <c r="E217" s="2" t="str">
        <f t="shared" si="12"/>
        <v>Dec</v>
      </c>
      <c r="F217" s="3">
        <f t="shared" si="13"/>
        <v>45992</v>
      </c>
      <c r="G217" s="3" t="s">
        <v>37</v>
      </c>
      <c r="H217" s="2">
        <v>92</v>
      </c>
      <c r="I217" s="2">
        <v>94</v>
      </c>
      <c r="J217" s="2">
        <v>184</v>
      </c>
      <c r="K217" s="2">
        <v>177</v>
      </c>
    </row>
    <row r="218" spans="1:11" x14ac:dyDescent="0.25">
      <c r="A218" t="s">
        <v>29</v>
      </c>
      <c r="B218" t="s">
        <v>22</v>
      </c>
      <c r="C218" s="2" t="s">
        <v>6</v>
      </c>
      <c r="D218" s="2">
        <f t="shared" si="11"/>
        <v>2026</v>
      </c>
      <c r="E218" s="2" t="str">
        <f t="shared" si="12"/>
        <v>Jan</v>
      </c>
      <c r="F218" s="3">
        <f t="shared" si="13"/>
        <v>46023</v>
      </c>
      <c r="G218" s="3" t="s">
        <v>37</v>
      </c>
      <c r="H218" s="2">
        <v>96</v>
      </c>
      <c r="I218" s="2">
        <v>101</v>
      </c>
      <c r="J218" s="2">
        <v>272</v>
      </c>
      <c r="K218" s="2">
        <v>270</v>
      </c>
    </row>
    <row r="219" spans="1:11" x14ac:dyDescent="0.25">
      <c r="A219" t="s">
        <v>29</v>
      </c>
      <c r="B219" t="s">
        <v>22</v>
      </c>
      <c r="C219" s="2" t="s">
        <v>6</v>
      </c>
      <c r="D219" s="2">
        <f t="shared" si="11"/>
        <v>2026</v>
      </c>
      <c r="E219" s="2" t="str">
        <f t="shared" si="12"/>
        <v>Feb</v>
      </c>
      <c r="F219" s="3">
        <f t="shared" si="13"/>
        <v>46054</v>
      </c>
      <c r="G219" s="3" t="s">
        <v>37</v>
      </c>
      <c r="H219" s="2">
        <v>74</v>
      </c>
      <c r="I219" s="2">
        <v>78</v>
      </c>
      <c r="J219" s="2">
        <v>234</v>
      </c>
      <c r="K219" s="2">
        <v>232</v>
      </c>
    </row>
    <row r="220" spans="1:11" x14ac:dyDescent="0.25">
      <c r="A220" t="s">
        <v>29</v>
      </c>
      <c r="B220" t="s">
        <v>22</v>
      </c>
      <c r="C220" s="2" t="s">
        <v>6</v>
      </c>
      <c r="D220" s="2">
        <f t="shared" si="11"/>
        <v>2026</v>
      </c>
      <c r="E220" s="2" t="str">
        <f t="shared" si="12"/>
        <v>Mar</v>
      </c>
      <c r="F220" s="3">
        <f t="shared" si="13"/>
        <v>46082</v>
      </c>
      <c r="G220" s="3" t="s">
        <v>37</v>
      </c>
      <c r="H220" s="2">
        <v>56</v>
      </c>
      <c r="I220" s="2">
        <v>51</v>
      </c>
      <c r="J220" s="2">
        <v>253</v>
      </c>
      <c r="K220" s="2">
        <v>259</v>
      </c>
    </row>
    <row r="221" spans="1:11" x14ac:dyDescent="0.25">
      <c r="A221" t="s">
        <v>29</v>
      </c>
      <c r="B221" t="s">
        <v>22</v>
      </c>
      <c r="C221" s="2" t="s">
        <v>6</v>
      </c>
      <c r="D221" s="2">
        <f t="shared" si="11"/>
        <v>2026</v>
      </c>
      <c r="E221" s="2" t="str">
        <f t="shared" si="12"/>
        <v>Apr</v>
      </c>
      <c r="F221" s="3">
        <f t="shared" si="13"/>
        <v>46113</v>
      </c>
      <c r="G221" s="3" t="s">
        <v>37</v>
      </c>
      <c r="H221" s="2">
        <v>50</v>
      </c>
      <c r="I221" s="2">
        <v>45</v>
      </c>
      <c r="J221" s="2">
        <v>209</v>
      </c>
      <c r="K221" s="2">
        <v>221</v>
      </c>
    </row>
    <row r="222" spans="1:11" x14ac:dyDescent="0.25">
      <c r="A222" t="s">
        <v>29</v>
      </c>
      <c r="B222" t="s">
        <v>22</v>
      </c>
      <c r="C222" s="2" t="s">
        <v>6</v>
      </c>
      <c r="D222" s="2">
        <f t="shared" si="11"/>
        <v>2026</v>
      </c>
      <c r="E222" s="2" t="str">
        <f t="shared" si="12"/>
        <v>May</v>
      </c>
      <c r="F222" s="3">
        <f t="shared" si="13"/>
        <v>46143</v>
      </c>
      <c r="G222" s="3" t="s">
        <v>37</v>
      </c>
      <c r="H222" s="2">
        <v>52</v>
      </c>
      <c r="I222" s="2">
        <v>49</v>
      </c>
      <c r="J222" s="2">
        <v>181</v>
      </c>
      <c r="K222" s="2">
        <v>178</v>
      </c>
    </row>
    <row r="223" spans="1:11" x14ac:dyDescent="0.25">
      <c r="A223" t="s">
        <v>29</v>
      </c>
      <c r="B223" t="s">
        <v>22</v>
      </c>
      <c r="C223" s="2" t="s">
        <v>6</v>
      </c>
      <c r="D223" s="2">
        <f t="shared" si="11"/>
        <v>2026</v>
      </c>
      <c r="E223" s="2" t="str">
        <f t="shared" si="12"/>
        <v>Jun</v>
      </c>
      <c r="F223" s="3">
        <f t="shared" si="13"/>
        <v>46174</v>
      </c>
      <c r="G223" s="3" t="s">
        <v>37</v>
      </c>
      <c r="H223" s="2">
        <v>65</v>
      </c>
      <c r="I223" s="2">
        <v>68</v>
      </c>
      <c r="J223" s="2">
        <v>233</v>
      </c>
      <c r="K223" s="2">
        <v>230</v>
      </c>
    </row>
    <row r="224" spans="1:11" x14ac:dyDescent="0.25">
      <c r="A224" t="s">
        <v>29</v>
      </c>
      <c r="B224" t="s">
        <v>22</v>
      </c>
      <c r="C224" s="2" t="s">
        <v>6</v>
      </c>
      <c r="D224" s="2">
        <f t="shared" si="11"/>
        <v>2026</v>
      </c>
      <c r="E224" s="2" t="str">
        <f t="shared" si="12"/>
        <v>Jul</v>
      </c>
      <c r="F224" s="3">
        <f t="shared" si="13"/>
        <v>46204</v>
      </c>
      <c r="G224" s="3" t="s">
        <v>37</v>
      </c>
      <c r="H224" s="2">
        <v>59</v>
      </c>
      <c r="I224" s="2">
        <v>64</v>
      </c>
      <c r="J224" s="2">
        <v>253</v>
      </c>
      <c r="K224" s="2">
        <v>264</v>
      </c>
    </row>
    <row r="225" spans="1:11" x14ac:dyDescent="0.25">
      <c r="A225" t="s">
        <v>29</v>
      </c>
      <c r="B225" t="s">
        <v>22</v>
      </c>
      <c r="C225" s="2" t="s">
        <v>6</v>
      </c>
      <c r="D225" s="2">
        <f t="shared" si="11"/>
        <v>2026</v>
      </c>
      <c r="E225" s="2" t="str">
        <f t="shared" si="12"/>
        <v>Aug</v>
      </c>
      <c r="F225" s="3">
        <f t="shared" si="13"/>
        <v>46235</v>
      </c>
      <c r="G225" s="3" t="s">
        <v>37</v>
      </c>
      <c r="H225" s="2">
        <v>47</v>
      </c>
      <c r="I225" s="2">
        <v>42</v>
      </c>
      <c r="J225" s="2">
        <v>239</v>
      </c>
      <c r="K225" s="2">
        <v>257</v>
      </c>
    </row>
    <row r="226" spans="1:11" x14ac:dyDescent="0.25">
      <c r="A226" t="s">
        <v>29</v>
      </c>
      <c r="B226" t="s">
        <v>22</v>
      </c>
      <c r="C226" s="2" t="s">
        <v>6</v>
      </c>
      <c r="D226" s="2">
        <f t="shared" si="11"/>
        <v>2026</v>
      </c>
      <c r="E226" s="2" t="str">
        <f t="shared" si="12"/>
        <v>Sep</v>
      </c>
      <c r="F226" s="3">
        <f t="shared" si="13"/>
        <v>46266</v>
      </c>
      <c r="G226" s="3" t="s">
        <v>37</v>
      </c>
      <c r="H226" s="2">
        <v>50</v>
      </c>
      <c r="I226" s="2">
        <v>48</v>
      </c>
      <c r="J226" s="2">
        <v>195</v>
      </c>
      <c r="K226" s="2">
        <v>183</v>
      </c>
    </row>
    <row r="227" spans="1:11" x14ac:dyDescent="0.25">
      <c r="A227" t="s">
        <v>29</v>
      </c>
      <c r="B227" t="s">
        <v>22</v>
      </c>
      <c r="C227" s="2" t="s">
        <v>6</v>
      </c>
      <c r="D227" s="2">
        <f t="shared" si="11"/>
        <v>2026</v>
      </c>
      <c r="E227" s="2" t="str">
        <f t="shared" si="12"/>
        <v>Oct</v>
      </c>
      <c r="F227" s="3">
        <f t="shared" si="13"/>
        <v>46296</v>
      </c>
      <c r="G227" s="3" t="s">
        <v>37</v>
      </c>
      <c r="H227" s="2">
        <v>60</v>
      </c>
      <c r="I227" s="2">
        <v>65</v>
      </c>
      <c r="J227" s="2">
        <v>248</v>
      </c>
      <c r="K227" s="2">
        <v>259</v>
      </c>
    </row>
    <row r="228" spans="1:11" x14ac:dyDescent="0.25">
      <c r="A228" t="s">
        <v>29</v>
      </c>
      <c r="B228" t="s">
        <v>22</v>
      </c>
      <c r="C228" s="2" t="s">
        <v>6</v>
      </c>
      <c r="D228" s="2">
        <f t="shared" si="11"/>
        <v>2026</v>
      </c>
      <c r="E228" s="2" t="str">
        <f t="shared" si="12"/>
        <v>Nov</v>
      </c>
      <c r="F228" s="3">
        <f t="shared" si="13"/>
        <v>46327</v>
      </c>
      <c r="G228" s="3" t="s">
        <v>37</v>
      </c>
      <c r="H228" s="2">
        <v>62</v>
      </c>
      <c r="I228" s="2">
        <v>61</v>
      </c>
      <c r="J228" s="2">
        <v>273</v>
      </c>
      <c r="K228" s="2">
        <v>261</v>
      </c>
    </row>
    <row r="229" spans="1:11" x14ac:dyDescent="0.25">
      <c r="A229" t="s">
        <v>29</v>
      </c>
      <c r="B229" t="s">
        <v>22</v>
      </c>
      <c r="C229" s="2" t="s">
        <v>6</v>
      </c>
      <c r="D229" s="2">
        <f t="shared" si="11"/>
        <v>2026</v>
      </c>
      <c r="E229" s="2" t="str">
        <f t="shared" si="12"/>
        <v>Dec</v>
      </c>
      <c r="F229" s="3">
        <f t="shared" si="13"/>
        <v>46357</v>
      </c>
      <c r="G229" s="3" t="s">
        <v>37</v>
      </c>
      <c r="H229" s="2">
        <v>52</v>
      </c>
      <c r="I229" s="2">
        <v>57</v>
      </c>
      <c r="J229" s="2">
        <v>245</v>
      </c>
      <c r="K229" s="2">
        <v>230</v>
      </c>
    </row>
    <row r="230" spans="1:11" x14ac:dyDescent="0.25">
      <c r="A230" t="s">
        <v>29</v>
      </c>
      <c r="B230" t="s">
        <v>22</v>
      </c>
      <c r="C230" s="2" t="s">
        <v>6</v>
      </c>
      <c r="D230" s="2">
        <f t="shared" si="11"/>
        <v>2027</v>
      </c>
      <c r="E230" s="2" t="str">
        <f t="shared" si="12"/>
        <v>Jan</v>
      </c>
      <c r="F230" s="3">
        <f t="shared" si="13"/>
        <v>46388</v>
      </c>
      <c r="G230" s="3" t="s">
        <v>37</v>
      </c>
      <c r="H230" s="2">
        <v>96</v>
      </c>
      <c r="I230" s="2">
        <v>101</v>
      </c>
      <c r="J230" s="2">
        <v>272</v>
      </c>
      <c r="K230" s="2">
        <v>270</v>
      </c>
    </row>
    <row r="231" spans="1:11" x14ac:dyDescent="0.25">
      <c r="A231" t="s">
        <v>29</v>
      </c>
      <c r="B231" t="s">
        <v>22</v>
      </c>
      <c r="C231" s="2" t="s">
        <v>6</v>
      </c>
      <c r="D231" s="2">
        <f t="shared" si="11"/>
        <v>2027</v>
      </c>
      <c r="E231" s="2" t="str">
        <f t="shared" si="12"/>
        <v>Feb</v>
      </c>
      <c r="F231" s="3">
        <f t="shared" si="13"/>
        <v>46419</v>
      </c>
      <c r="G231" s="3" t="s">
        <v>37</v>
      </c>
      <c r="H231" s="2">
        <v>74</v>
      </c>
      <c r="I231" s="2">
        <v>78</v>
      </c>
      <c r="J231" s="2">
        <v>234</v>
      </c>
      <c r="K231" s="2">
        <v>232</v>
      </c>
    </row>
    <row r="232" spans="1:11" x14ac:dyDescent="0.25">
      <c r="A232" t="s">
        <v>29</v>
      </c>
      <c r="B232" t="s">
        <v>22</v>
      </c>
      <c r="C232" s="2" t="s">
        <v>6</v>
      </c>
      <c r="D232" s="2">
        <f t="shared" si="11"/>
        <v>2027</v>
      </c>
      <c r="E232" s="2" t="str">
        <f t="shared" si="12"/>
        <v>Mar</v>
      </c>
      <c r="F232" s="3">
        <f t="shared" si="13"/>
        <v>46447</v>
      </c>
      <c r="G232" s="3" t="s">
        <v>37</v>
      </c>
      <c r="H232" s="2">
        <v>56</v>
      </c>
      <c r="I232" s="2">
        <v>51</v>
      </c>
      <c r="J232" s="2">
        <v>253</v>
      </c>
      <c r="K232" s="2">
        <v>259</v>
      </c>
    </row>
    <row r="233" spans="1:11" x14ac:dyDescent="0.25">
      <c r="A233" t="s">
        <v>29</v>
      </c>
      <c r="B233" t="s">
        <v>22</v>
      </c>
      <c r="C233" s="2" t="s">
        <v>6</v>
      </c>
      <c r="D233" s="2">
        <f t="shared" si="11"/>
        <v>2027</v>
      </c>
      <c r="E233" s="2" t="str">
        <f t="shared" si="12"/>
        <v>Apr</v>
      </c>
      <c r="F233" s="3">
        <f t="shared" si="13"/>
        <v>46478</v>
      </c>
      <c r="G233" s="3" t="s">
        <v>37</v>
      </c>
      <c r="H233" s="2">
        <v>50</v>
      </c>
      <c r="I233" s="2">
        <v>45</v>
      </c>
      <c r="J233" s="2">
        <v>209</v>
      </c>
      <c r="K233" s="2">
        <v>221</v>
      </c>
    </row>
    <row r="234" spans="1:11" x14ac:dyDescent="0.25">
      <c r="A234" t="s">
        <v>29</v>
      </c>
      <c r="B234" t="s">
        <v>22</v>
      </c>
      <c r="C234" s="2" t="s">
        <v>6</v>
      </c>
      <c r="D234" s="2">
        <f t="shared" si="11"/>
        <v>2027</v>
      </c>
      <c r="E234" s="2" t="str">
        <f t="shared" si="12"/>
        <v>May</v>
      </c>
      <c r="F234" s="3">
        <f t="shared" si="13"/>
        <v>46508</v>
      </c>
      <c r="G234" s="3" t="s">
        <v>37</v>
      </c>
      <c r="H234" s="2">
        <v>52</v>
      </c>
      <c r="I234" s="2">
        <v>49</v>
      </c>
      <c r="J234" s="2">
        <v>181</v>
      </c>
      <c r="K234" s="2">
        <v>178</v>
      </c>
    </row>
    <row r="235" spans="1:11" x14ac:dyDescent="0.25">
      <c r="A235" t="s">
        <v>29</v>
      </c>
      <c r="B235" t="s">
        <v>22</v>
      </c>
      <c r="C235" s="2" t="s">
        <v>6</v>
      </c>
      <c r="D235" s="2">
        <f t="shared" si="11"/>
        <v>2027</v>
      </c>
      <c r="E235" s="2" t="str">
        <f t="shared" si="12"/>
        <v>Jun</v>
      </c>
      <c r="F235" s="3">
        <f t="shared" si="13"/>
        <v>46539</v>
      </c>
      <c r="G235" s="3" t="s">
        <v>37</v>
      </c>
      <c r="H235" s="2">
        <v>65</v>
      </c>
      <c r="I235" s="2">
        <v>68</v>
      </c>
      <c r="J235" s="2">
        <v>233</v>
      </c>
      <c r="K235" s="2">
        <v>230</v>
      </c>
    </row>
    <row r="236" spans="1:11" x14ac:dyDescent="0.25">
      <c r="A236" t="s">
        <v>29</v>
      </c>
      <c r="B236" t="s">
        <v>22</v>
      </c>
      <c r="C236" s="2" t="s">
        <v>6</v>
      </c>
      <c r="D236" s="2">
        <f t="shared" si="11"/>
        <v>2027</v>
      </c>
      <c r="E236" s="2" t="str">
        <f t="shared" si="12"/>
        <v>Jul</v>
      </c>
      <c r="F236" s="3">
        <f t="shared" si="13"/>
        <v>46569</v>
      </c>
      <c r="G236" s="3" t="s">
        <v>37</v>
      </c>
      <c r="H236" s="2">
        <v>59</v>
      </c>
      <c r="I236" s="2">
        <v>64</v>
      </c>
      <c r="J236" s="2">
        <v>253</v>
      </c>
      <c r="K236" s="2">
        <v>264</v>
      </c>
    </row>
    <row r="237" spans="1:11" x14ac:dyDescent="0.25">
      <c r="A237" t="s">
        <v>29</v>
      </c>
      <c r="B237" t="s">
        <v>22</v>
      </c>
      <c r="C237" s="2" t="s">
        <v>6</v>
      </c>
      <c r="D237" s="2">
        <f t="shared" si="11"/>
        <v>2027</v>
      </c>
      <c r="E237" s="2" t="str">
        <f t="shared" si="12"/>
        <v>Aug</v>
      </c>
      <c r="F237" s="3">
        <f t="shared" si="13"/>
        <v>46600</v>
      </c>
      <c r="G237" s="3" t="s">
        <v>37</v>
      </c>
      <c r="H237" s="2">
        <v>47</v>
      </c>
      <c r="I237" s="2">
        <v>42</v>
      </c>
      <c r="J237" s="2">
        <v>239</v>
      </c>
      <c r="K237" s="2">
        <v>257</v>
      </c>
    </row>
    <row r="238" spans="1:11" x14ac:dyDescent="0.25">
      <c r="A238" t="s">
        <v>29</v>
      </c>
      <c r="B238" t="s">
        <v>22</v>
      </c>
      <c r="C238" s="2" t="s">
        <v>6</v>
      </c>
      <c r="D238" s="2">
        <f t="shared" si="11"/>
        <v>2027</v>
      </c>
      <c r="E238" s="2" t="str">
        <f t="shared" si="12"/>
        <v>Sep</v>
      </c>
      <c r="F238" s="3">
        <f t="shared" si="13"/>
        <v>46631</v>
      </c>
      <c r="G238" s="3" t="s">
        <v>37</v>
      </c>
      <c r="H238" s="2">
        <v>50</v>
      </c>
      <c r="I238" s="2">
        <v>48</v>
      </c>
      <c r="J238" s="2">
        <v>195</v>
      </c>
      <c r="K238" s="2">
        <v>183</v>
      </c>
    </row>
    <row r="239" spans="1:11" x14ac:dyDescent="0.25">
      <c r="A239" t="s">
        <v>29</v>
      </c>
      <c r="B239" t="s">
        <v>22</v>
      </c>
      <c r="C239" s="2" t="s">
        <v>6</v>
      </c>
      <c r="D239" s="2">
        <f t="shared" si="11"/>
        <v>2027</v>
      </c>
      <c r="E239" s="2" t="str">
        <f t="shared" si="12"/>
        <v>Oct</v>
      </c>
      <c r="F239" s="3">
        <f t="shared" si="13"/>
        <v>46661</v>
      </c>
      <c r="G239" s="3" t="s">
        <v>37</v>
      </c>
      <c r="H239" s="2">
        <v>60</v>
      </c>
      <c r="I239" s="2">
        <v>65</v>
      </c>
      <c r="J239" s="2">
        <v>248</v>
      </c>
      <c r="K239" s="2">
        <v>259</v>
      </c>
    </row>
    <row r="240" spans="1:11" x14ac:dyDescent="0.25">
      <c r="A240" t="s">
        <v>29</v>
      </c>
      <c r="B240" t="s">
        <v>22</v>
      </c>
      <c r="C240" s="2" t="s">
        <v>6</v>
      </c>
      <c r="D240" s="2">
        <f t="shared" si="11"/>
        <v>2027</v>
      </c>
      <c r="E240" s="2" t="str">
        <f t="shared" si="12"/>
        <v>Nov</v>
      </c>
      <c r="F240" s="3">
        <f t="shared" si="13"/>
        <v>46692</v>
      </c>
      <c r="G240" s="3" t="s">
        <v>37</v>
      </c>
      <c r="H240" s="2">
        <v>62</v>
      </c>
      <c r="I240" s="2">
        <v>61</v>
      </c>
      <c r="J240" s="2">
        <v>273</v>
      </c>
      <c r="K240" s="2">
        <v>261</v>
      </c>
    </row>
    <row r="241" spans="1:11" x14ac:dyDescent="0.25">
      <c r="A241" t="s">
        <v>29</v>
      </c>
      <c r="B241" t="s">
        <v>22</v>
      </c>
      <c r="C241" s="2" t="s">
        <v>6</v>
      </c>
      <c r="D241" s="2">
        <f t="shared" si="11"/>
        <v>2027</v>
      </c>
      <c r="E241" s="2" t="str">
        <f t="shared" si="12"/>
        <v>Dec</v>
      </c>
      <c r="F241" s="3">
        <f t="shared" si="13"/>
        <v>46722</v>
      </c>
      <c r="G241" s="3" t="s">
        <v>37</v>
      </c>
      <c r="H241" s="2">
        <v>52</v>
      </c>
      <c r="I241" s="2">
        <v>57</v>
      </c>
      <c r="J241" s="2">
        <v>245</v>
      </c>
      <c r="K241" s="2">
        <v>230</v>
      </c>
    </row>
    <row r="242" spans="1:11" x14ac:dyDescent="0.25">
      <c r="A242" t="s">
        <v>32</v>
      </c>
      <c r="B242" t="s">
        <v>22</v>
      </c>
      <c r="C242" s="2" t="s">
        <v>5</v>
      </c>
      <c r="D242" s="2">
        <f>YEAR(F242)</f>
        <v>2023</v>
      </c>
      <c r="E242" s="2" t="str">
        <f>TEXT(F242,"mmm")</f>
        <v>Jan</v>
      </c>
      <c r="F242" s="3">
        <v>44927</v>
      </c>
      <c r="G242" s="3" t="s">
        <v>37</v>
      </c>
      <c r="H242" s="2">
        <v>60</v>
      </c>
      <c r="I242" s="2">
        <v>58</v>
      </c>
      <c r="J242" s="2">
        <v>183</v>
      </c>
      <c r="K242" s="2">
        <v>176</v>
      </c>
    </row>
    <row r="243" spans="1:11" x14ac:dyDescent="0.25">
      <c r="A243" t="s">
        <v>32</v>
      </c>
      <c r="B243" t="s">
        <v>22</v>
      </c>
      <c r="C243" s="2" t="s">
        <v>5</v>
      </c>
      <c r="D243" s="2">
        <f t="shared" ref="D243:D301" si="14">YEAR(F243)</f>
        <v>2023</v>
      </c>
      <c r="E243" s="2" t="str">
        <f t="shared" si="12"/>
        <v>Feb</v>
      </c>
      <c r="F243" s="3">
        <f>EOMONTH(F242,0)+1</f>
        <v>44958</v>
      </c>
      <c r="G243" s="3" t="s">
        <v>37</v>
      </c>
      <c r="H243" s="2">
        <v>69</v>
      </c>
      <c r="I243" s="2">
        <v>66</v>
      </c>
      <c r="J243" s="2">
        <v>281</v>
      </c>
      <c r="K243" s="2">
        <v>277</v>
      </c>
    </row>
    <row r="244" spans="1:11" x14ac:dyDescent="0.25">
      <c r="A244" t="s">
        <v>32</v>
      </c>
      <c r="B244" t="s">
        <v>22</v>
      </c>
      <c r="C244" s="2" t="s">
        <v>5</v>
      </c>
      <c r="D244" s="2">
        <f t="shared" si="14"/>
        <v>2023</v>
      </c>
      <c r="E244" s="2" t="str">
        <f t="shared" si="12"/>
        <v>Mar</v>
      </c>
      <c r="F244" s="3">
        <f t="shared" ref="F244:F301" si="15">EOMONTH(F243,0)+1</f>
        <v>44986</v>
      </c>
      <c r="G244" s="3" t="s">
        <v>37</v>
      </c>
      <c r="H244" s="2">
        <v>42</v>
      </c>
      <c r="I244" s="2">
        <v>43</v>
      </c>
      <c r="J244" s="2">
        <v>280</v>
      </c>
      <c r="K244" s="2">
        <v>294</v>
      </c>
    </row>
    <row r="245" spans="1:11" x14ac:dyDescent="0.25">
      <c r="A245" t="s">
        <v>32</v>
      </c>
      <c r="B245" t="s">
        <v>22</v>
      </c>
      <c r="C245" s="2" t="s">
        <v>5</v>
      </c>
      <c r="D245" s="2">
        <f t="shared" si="14"/>
        <v>2023</v>
      </c>
      <c r="E245" s="2" t="str">
        <f t="shared" si="12"/>
        <v>Apr</v>
      </c>
      <c r="F245" s="3">
        <f t="shared" si="15"/>
        <v>45017</v>
      </c>
      <c r="G245" s="3" t="s">
        <v>37</v>
      </c>
      <c r="H245" s="2">
        <v>59</v>
      </c>
      <c r="I245" s="2">
        <v>61</v>
      </c>
      <c r="J245" s="2">
        <v>232</v>
      </c>
      <c r="K245" s="2">
        <v>230</v>
      </c>
    </row>
    <row r="246" spans="1:11" x14ac:dyDescent="0.25">
      <c r="A246" t="s">
        <v>32</v>
      </c>
      <c r="B246" t="s">
        <v>22</v>
      </c>
      <c r="C246" s="2" t="s">
        <v>5</v>
      </c>
      <c r="D246" s="2">
        <f t="shared" si="14"/>
        <v>2023</v>
      </c>
      <c r="E246" s="2" t="str">
        <f t="shared" si="12"/>
        <v>May</v>
      </c>
      <c r="F246" s="3">
        <f t="shared" si="15"/>
        <v>45047</v>
      </c>
      <c r="G246" s="3" t="s">
        <v>37</v>
      </c>
      <c r="H246" s="2">
        <v>84</v>
      </c>
      <c r="I246" s="2">
        <v>84</v>
      </c>
      <c r="J246" s="2">
        <v>203</v>
      </c>
      <c r="K246" s="2">
        <v>198</v>
      </c>
    </row>
    <row r="247" spans="1:11" x14ac:dyDescent="0.25">
      <c r="A247" t="s">
        <v>32</v>
      </c>
      <c r="B247" t="s">
        <v>22</v>
      </c>
      <c r="C247" s="2" t="s">
        <v>5</v>
      </c>
      <c r="D247" s="2">
        <f t="shared" si="14"/>
        <v>2023</v>
      </c>
      <c r="E247" s="2" t="str">
        <f t="shared" ref="E247:E301" si="16">TEXT(F247,"mmm")</f>
        <v>Jun</v>
      </c>
      <c r="F247" s="3">
        <f t="shared" si="15"/>
        <v>45078</v>
      </c>
      <c r="G247" s="3" t="s">
        <v>37</v>
      </c>
      <c r="H247" s="2">
        <v>93</v>
      </c>
      <c r="I247" s="2">
        <v>101</v>
      </c>
      <c r="J247" s="2">
        <v>276</v>
      </c>
      <c r="K247" s="2">
        <v>287</v>
      </c>
    </row>
    <row r="248" spans="1:11" x14ac:dyDescent="0.25">
      <c r="A248" t="s">
        <v>32</v>
      </c>
      <c r="B248" t="s">
        <v>22</v>
      </c>
      <c r="C248" s="2" t="s">
        <v>5</v>
      </c>
      <c r="D248" s="2">
        <f t="shared" si="14"/>
        <v>2023</v>
      </c>
      <c r="E248" s="2" t="str">
        <f t="shared" si="16"/>
        <v>Jul</v>
      </c>
      <c r="F248" s="3">
        <f t="shared" si="15"/>
        <v>45108</v>
      </c>
      <c r="G248" s="3" t="s">
        <v>37</v>
      </c>
      <c r="H248" s="2">
        <v>93</v>
      </c>
      <c r="I248" s="2">
        <v>94</v>
      </c>
      <c r="J248" s="2">
        <v>214</v>
      </c>
      <c r="K248" s="2">
        <v>229</v>
      </c>
    </row>
    <row r="249" spans="1:11" x14ac:dyDescent="0.25">
      <c r="A249" t="s">
        <v>32</v>
      </c>
      <c r="B249" t="s">
        <v>22</v>
      </c>
      <c r="C249" s="2" t="s">
        <v>5</v>
      </c>
      <c r="D249" s="2">
        <f t="shared" si="14"/>
        <v>2023</v>
      </c>
      <c r="E249" s="2" t="str">
        <f t="shared" si="16"/>
        <v>Aug</v>
      </c>
      <c r="F249" s="3">
        <f t="shared" si="15"/>
        <v>45139</v>
      </c>
      <c r="G249" s="3" t="s">
        <v>37</v>
      </c>
      <c r="H249" s="2">
        <v>94</v>
      </c>
      <c r="I249" s="2">
        <v>96</v>
      </c>
      <c r="J249" s="2">
        <v>298</v>
      </c>
      <c r="K249" s="2">
        <v>302</v>
      </c>
    </row>
    <row r="250" spans="1:11" x14ac:dyDescent="0.25">
      <c r="A250" t="s">
        <v>32</v>
      </c>
      <c r="B250" t="s">
        <v>22</v>
      </c>
      <c r="C250" s="2" t="s">
        <v>5</v>
      </c>
      <c r="D250" s="2">
        <f t="shared" si="14"/>
        <v>2023</v>
      </c>
      <c r="E250" s="2" t="str">
        <f t="shared" si="16"/>
        <v>Sep</v>
      </c>
      <c r="F250" s="3">
        <f t="shared" si="15"/>
        <v>45170</v>
      </c>
      <c r="G250" s="3" t="s">
        <v>37</v>
      </c>
      <c r="H250" s="2">
        <v>95</v>
      </c>
      <c r="I250" s="2">
        <v>95</v>
      </c>
      <c r="J250" s="2">
        <v>292</v>
      </c>
      <c r="K250" s="2">
        <v>273</v>
      </c>
    </row>
    <row r="251" spans="1:11" x14ac:dyDescent="0.25">
      <c r="A251" t="s">
        <v>32</v>
      </c>
      <c r="B251" t="s">
        <v>22</v>
      </c>
      <c r="C251" s="2" t="s">
        <v>5</v>
      </c>
      <c r="D251" s="2">
        <f t="shared" si="14"/>
        <v>2023</v>
      </c>
      <c r="E251" s="2" t="str">
        <f t="shared" si="16"/>
        <v>Oct</v>
      </c>
      <c r="F251" s="3">
        <f t="shared" si="15"/>
        <v>45200</v>
      </c>
      <c r="G251" s="3" t="s">
        <v>37</v>
      </c>
      <c r="H251" s="2">
        <v>102</v>
      </c>
      <c r="I251" s="2">
        <v>94</v>
      </c>
      <c r="J251" s="2">
        <v>239</v>
      </c>
      <c r="K251" s="2">
        <v>228</v>
      </c>
    </row>
    <row r="252" spans="1:11" x14ac:dyDescent="0.25">
      <c r="A252" t="s">
        <v>32</v>
      </c>
      <c r="B252" t="s">
        <v>22</v>
      </c>
      <c r="C252" s="2" t="s">
        <v>5</v>
      </c>
      <c r="D252" s="2">
        <f t="shared" si="14"/>
        <v>2023</v>
      </c>
      <c r="E252" s="2" t="str">
        <f t="shared" si="16"/>
        <v>Nov</v>
      </c>
      <c r="F252" s="3">
        <f t="shared" si="15"/>
        <v>45231</v>
      </c>
      <c r="G252" s="3" t="s">
        <v>37</v>
      </c>
      <c r="H252" s="2">
        <v>61</v>
      </c>
      <c r="I252" s="2">
        <v>60</v>
      </c>
      <c r="J252" s="2">
        <v>238</v>
      </c>
      <c r="K252" s="2">
        <v>231</v>
      </c>
    </row>
    <row r="253" spans="1:11" x14ac:dyDescent="0.25">
      <c r="A253" t="s">
        <v>32</v>
      </c>
      <c r="B253" t="s">
        <v>22</v>
      </c>
      <c r="C253" s="2" t="s">
        <v>5</v>
      </c>
      <c r="D253" s="2">
        <f t="shared" si="14"/>
        <v>2023</v>
      </c>
      <c r="E253" s="2" t="str">
        <f t="shared" si="16"/>
        <v>Dec</v>
      </c>
      <c r="F253" s="3">
        <f t="shared" si="15"/>
        <v>45261</v>
      </c>
      <c r="G253" s="3" t="s">
        <v>37</v>
      </c>
      <c r="H253" s="2">
        <v>105</v>
      </c>
      <c r="I253" s="2">
        <v>95</v>
      </c>
      <c r="J253" s="2">
        <v>277</v>
      </c>
      <c r="K253" s="2">
        <v>274</v>
      </c>
    </row>
    <row r="254" spans="1:11" x14ac:dyDescent="0.25">
      <c r="A254" t="s">
        <v>32</v>
      </c>
      <c r="B254" t="s">
        <v>22</v>
      </c>
      <c r="C254" s="2" t="s">
        <v>5</v>
      </c>
      <c r="D254" s="2">
        <f t="shared" si="14"/>
        <v>2024</v>
      </c>
      <c r="E254" s="2" t="str">
        <f t="shared" si="16"/>
        <v>Jan</v>
      </c>
      <c r="F254" s="3">
        <f t="shared" si="15"/>
        <v>45292</v>
      </c>
      <c r="G254" s="3" t="s">
        <v>37</v>
      </c>
      <c r="H254" s="2">
        <v>68</v>
      </c>
      <c r="I254" s="2">
        <v>67</v>
      </c>
      <c r="J254" s="2">
        <v>197</v>
      </c>
      <c r="K254" s="2">
        <v>199</v>
      </c>
    </row>
    <row r="255" spans="1:11" x14ac:dyDescent="0.25">
      <c r="A255" t="s">
        <v>32</v>
      </c>
      <c r="B255" t="s">
        <v>22</v>
      </c>
      <c r="C255" s="2" t="s">
        <v>5</v>
      </c>
      <c r="D255" s="2">
        <f t="shared" si="14"/>
        <v>2024</v>
      </c>
      <c r="E255" s="2" t="str">
        <f t="shared" si="16"/>
        <v>Feb</v>
      </c>
      <c r="F255" s="3">
        <f t="shared" si="15"/>
        <v>45323</v>
      </c>
      <c r="G255" s="3" t="s">
        <v>37</v>
      </c>
      <c r="H255" s="2">
        <v>65</v>
      </c>
      <c r="I255" s="2">
        <v>66</v>
      </c>
      <c r="J255" s="2">
        <v>262</v>
      </c>
      <c r="K255" s="2">
        <v>267</v>
      </c>
    </row>
    <row r="256" spans="1:11" x14ac:dyDescent="0.25">
      <c r="A256" t="s">
        <v>32</v>
      </c>
      <c r="B256" t="s">
        <v>22</v>
      </c>
      <c r="C256" s="2" t="s">
        <v>5</v>
      </c>
      <c r="D256" s="2">
        <f t="shared" si="14"/>
        <v>2024</v>
      </c>
      <c r="E256" s="2" t="str">
        <f t="shared" si="16"/>
        <v>Mar</v>
      </c>
      <c r="F256" s="3">
        <f t="shared" si="15"/>
        <v>45352</v>
      </c>
      <c r="G256" s="3" t="s">
        <v>37</v>
      </c>
      <c r="H256" s="2">
        <v>53</v>
      </c>
      <c r="I256" s="2">
        <v>54</v>
      </c>
      <c r="J256" s="2">
        <v>293</v>
      </c>
      <c r="K256" s="2">
        <v>288</v>
      </c>
    </row>
    <row r="257" spans="1:11" x14ac:dyDescent="0.25">
      <c r="A257" t="s">
        <v>32</v>
      </c>
      <c r="B257" t="s">
        <v>22</v>
      </c>
      <c r="C257" s="2" t="s">
        <v>5</v>
      </c>
      <c r="D257" s="2">
        <f t="shared" si="14"/>
        <v>2024</v>
      </c>
      <c r="E257" s="2" t="str">
        <f t="shared" si="16"/>
        <v>Apr</v>
      </c>
      <c r="F257" s="3">
        <f t="shared" si="15"/>
        <v>45383</v>
      </c>
      <c r="G257" s="3" t="s">
        <v>37</v>
      </c>
      <c r="H257" s="2">
        <v>50</v>
      </c>
      <c r="I257" s="2">
        <v>50</v>
      </c>
      <c r="J257" s="2">
        <v>280</v>
      </c>
      <c r="K257" s="2">
        <v>300</v>
      </c>
    </row>
    <row r="258" spans="1:11" x14ac:dyDescent="0.25">
      <c r="A258" t="s">
        <v>32</v>
      </c>
      <c r="B258" t="s">
        <v>22</v>
      </c>
      <c r="C258" s="2" t="s">
        <v>5</v>
      </c>
      <c r="D258" s="2">
        <f t="shared" si="14"/>
        <v>2024</v>
      </c>
      <c r="E258" s="2" t="str">
        <f t="shared" si="16"/>
        <v>May</v>
      </c>
      <c r="F258" s="3">
        <f t="shared" si="15"/>
        <v>45413</v>
      </c>
      <c r="G258" s="3" t="s">
        <v>37</v>
      </c>
      <c r="H258" s="2">
        <v>52</v>
      </c>
      <c r="I258" s="2">
        <v>48</v>
      </c>
      <c r="J258" s="2">
        <v>288</v>
      </c>
      <c r="K258" s="2">
        <v>271</v>
      </c>
    </row>
    <row r="259" spans="1:11" x14ac:dyDescent="0.25">
      <c r="A259" t="s">
        <v>32</v>
      </c>
      <c r="B259" t="s">
        <v>22</v>
      </c>
      <c r="C259" s="2" t="s">
        <v>5</v>
      </c>
      <c r="D259" s="2">
        <f t="shared" si="14"/>
        <v>2024</v>
      </c>
      <c r="E259" s="2" t="str">
        <f t="shared" si="16"/>
        <v>Jun</v>
      </c>
      <c r="F259" s="3">
        <f t="shared" si="15"/>
        <v>45444</v>
      </c>
      <c r="G259" s="3" t="s">
        <v>37</v>
      </c>
      <c r="H259" s="2">
        <v>51</v>
      </c>
      <c r="I259" s="2">
        <v>52</v>
      </c>
      <c r="J259" s="2">
        <v>290</v>
      </c>
      <c r="K259" s="2">
        <v>287</v>
      </c>
    </row>
    <row r="260" spans="1:11" x14ac:dyDescent="0.25">
      <c r="A260" t="s">
        <v>32</v>
      </c>
      <c r="B260" t="s">
        <v>22</v>
      </c>
      <c r="C260" s="2" t="s">
        <v>5</v>
      </c>
      <c r="D260" s="2">
        <f t="shared" si="14"/>
        <v>2024</v>
      </c>
      <c r="E260" s="2" t="str">
        <f t="shared" si="16"/>
        <v>Jul</v>
      </c>
      <c r="F260" s="3">
        <f t="shared" si="15"/>
        <v>45474</v>
      </c>
      <c r="G260" s="3" t="s">
        <v>37</v>
      </c>
      <c r="H260" s="2">
        <v>61</v>
      </c>
      <c r="I260" s="2">
        <v>60</v>
      </c>
      <c r="J260" s="2">
        <v>258</v>
      </c>
      <c r="K260" s="2">
        <v>245</v>
      </c>
    </row>
    <row r="261" spans="1:11" x14ac:dyDescent="0.25">
      <c r="A261" t="s">
        <v>32</v>
      </c>
      <c r="B261" t="s">
        <v>22</v>
      </c>
      <c r="C261" s="2" t="s">
        <v>5</v>
      </c>
      <c r="D261" s="2">
        <f t="shared" si="14"/>
        <v>2024</v>
      </c>
      <c r="E261" s="2" t="str">
        <f t="shared" si="16"/>
        <v>Aug</v>
      </c>
      <c r="F261" s="3">
        <f t="shared" si="15"/>
        <v>45505</v>
      </c>
      <c r="G261" s="3" t="s">
        <v>37</v>
      </c>
      <c r="H261" s="2">
        <v>48</v>
      </c>
      <c r="I261" s="2">
        <v>52</v>
      </c>
      <c r="J261" s="2">
        <v>192</v>
      </c>
      <c r="K261" s="2">
        <v>194</v>
      </c>
    </row>
    <row r="262" spans="1:11" x14ac:dyDescent="0.25">
      <c r="A262" t="s">
        <v>32</v>
      </c>
      <c r="B262" t="s">
        <v>22</v>
      </c>
      <c r="C262" s="2" t="s">
        <v>5</v>
      </c>
      <c r="D262" s="2">
        <f t="shared" si="14"/>
        <v>2024</v>
      </c>
      <c r="E262" s="2" t="str">
        <f t="shared" si="16"/>
        <v>Sep</v>
      </c>
      <c r="F262" s="3">
        <f t="shared" si="15"/>
        <v>45536</v>
      </c>
      <c r="G262" s="3" t="s">
        <v>37</v>
      </c>
      <c r="H262" s="2">
        <v>56</v>
      </c>
      <c r="I262" s="2">
        <v>54</v>
      </c>
      <c r="J262" s="2">
        <v>295</v>
      </c>
      <c r="K262" s="2">
        <v>310</v>
      </c>
    </row>
    <row r="263" spans="1:11" x14ac:dyDescent="0.25">
      <c r="A263" t="s">
        <v>32</v>
      </c>
      <c r="B263" t="s">
        <v>22</v>
      </c>
      <c r="C263" s="2" t="s">
        <v>5</v>
      </c>
      <c r="D263" s="2">
        <f t="shared" si="14"/>
        <v>2024</v>
      </c>
      <c r="E263" s="2" t="str">
        <f t="shared" si="16"/>
        <v>Oct</v>
      </c>
      <c r="F263" s="3">
        <f t="shared" si="15"/>
        <v>45566</v>
      </c>
      <c r="G263" s="3" t="s">
        <v>37</v>
      </c>
      <c r="H263" s="2">
        <v>49</v>
      </c>
      <c r="I263" s="2">
        <v>47</v>
      </c>
      <c r="J263" s="2">
        <v>293</v>
      </c>
      <c r="K263" s="2">
        <v>282</v>
      </c>
    </row>
    <row r="264" spans="1:11" x14ac:dyDescent="0.25">
      <c r="A264" t="s">
        <v>32</v>
      </c>
      <c r="B264" t="s">
        <v>22</v>
      </c>
      <c r="C264" s="2" t="s">
        <v>5</v>
      </c>
      <c r="D264" s="2">
        <f t="shared" si="14"/>
        <v>2024</v>
      </c>
      <c r="E264" s="2" t="str">
        <f t="shared" si="16"/>
        <v>Nov</v>
      </c>
      <c r="F264" s="3">
        <f t="shared" si="15"/>
        <v>45597</v>
      </c>
      <c r="G264" s="3" t="s">
        <v>37</v>
      </c>
      <c r="H264" s="2">
        <v>42</v>
      </c>
      <c r="I264" s="2">
        <v>42</v>
      </c>
      <c r="J264" s="2">
        <v>202</v>
      </c>
      <c r="K264" s="2">
        <v>196</v>
      </c>
    </row>
    <row r="265" spans="1:11" x14ac:dyDescent="0.25">
      <c r="A265" t="s">
        <v>32</v>
      </c>
      <c r="B265" t="s">
        <v>22</v>
      </c>
      <c r="C265" s="2" t="s">
        <v>5</v>
      </c>
      <c r="D265" s="2">
        <f t="shared" si="14"/>
        <v>2024</v>
      </c>
      <c r="E265" s="2" t="str">
        <f t="shared" si="16"/>
        <v>Dec</v>
      </c>
      <c r="F265" s="3">
        <f t="shared" si="15"/>
        <v>45627</v>
      </c>
      <c r="G265" s="3" t="s">
        <v>37</v>
      </c>
      <c r="H265" s="2">
        <v>60</v>
      </c>
      <c r="I265" s="2">
        <v>64</v>
      </c>
      <c r="J265" s="2">
        <v>289</v>
      </c>
      <c r="K265" s="2">
        <v>273</v>
      </c>
    </row>
    <row r="266" spans="1:11" x14ac:dyDescent="0.25">
      <c r="A266" t="s">
        <v>32</v>
      </c>
      <c r="B266" t="s">
        <v>22</v>
      </c>
      <c r="C266" s="2" t="s">
        <v>6</v>
      </c>
      <c r="D266" s="2">
        <f t="shared" si="14"/>
        <v>2025</v>
      </c>
      <c r="E266" s="2" t="str">
        <f t="shared" si="16"/>
        <v>Jan</v>
      </c>
      <c r="F266" s="3">
        <f t="shared" si="15"/>
        <v>45658</v>
      </c>
      <c r="G266" s="3" t="s">
        <v>37</v>
      </c>
      <c r="H266" s="2">
        <v>62</v>
      </c>
      <c r="I266" s="2">
        <v>59</v>
      </c>
      <c r="J266" s="2">
        <v>298</v>
      </c>
      <c r="K266" s="2">
        <v>281</v>
      </c>
    </row>
    <row r="267" spans="1:11" x14ac:dyDescent="0.25">
      <c r="A267" t="s">
        <v>32</v>
      </c>
      <c r="B267" t="s">
        <v>22</v>
      </c>
      <c r="C267" s="2" t="s">
        <v>6</v>
      </c>
      <c r="D267" s="2">
        <f t="shared" si="14"/>
        <v>2025</v>
      </c>
      <c r="E267" s="2" t="str">
        <f t="shared" si="16"/>
        <v>Feb</v>
      </c>
      <c r="F267" s="3">
        <f t="shared" si="15"/>
        <v>45689</v>
      </c>
      <c r="G267" s="3" t="s">
        <v>37</v>
      </c>
      <c r="H267" s="2">
        <v>50</v>
      </c>
      <c r="I267" s="2">
        <v>47</v>
      </c>
      <c r="J267" s="2">
        <v>257</v>
      </c>
      <c r="K267" s="2">
        <v>276</v>
      </c>
    </row>
    <row r="268" spans="1:11" x14ac:dyDescent="0.25">
      <c r="A268" t="s">
        <v>32</v>
      </c>
      <c r="B268" t="s">
        <v>22</v>
      </c>
      <c r="C268" s="2" t="s">
        <v>6</v>
      </c>
      <c r="D268" s="2">
        <f t="shared" si="14"/>
        <v>2025</v>
      </c>
      <c r="E268" s="2" t="str">
        <f t="shared" si="16"/>
        <v>Mar</v>
      </c>
      <c r="F268" s="3">
        <f t="shared" si="15"/>
        <v>45717</v>
      </c>
      <c r="G268" s="3" t="s">
        <v>37</v>
      </c>
      <c r="H268" s="2">
        <v>59</v>
      </c>
      <c r="I268" s="2">
        <v>60</v>
      </c>
      <c r="J268" s="2">
        <v>259</v>
      </c>
      <c r="K268" s="2">
        <v>254</v>
      </c>
    </row>
    <row r="269" spans="1:11" x14ac:dyDescent="0.25">
      <c r="A269" t="s">
        <v>32</v>
      </c>
      <c r="B269" t="s">
        <v>22</v>
      </c>
      <c r="C269" s="2" t="s">
        <v>6</v>
      </c>
      <c r="D269" s="2">
        <f t="shared" si="14"/>
        <v>2025</v>
      </c>
      <c r="E269" s="2" t="str">
        <f t="shared" si="16"/>
        <v>Apr</v>
      </c>
      <c r="F269" s="3">
        <f t="shared" si="15"/>
        <v>45748</v>
      </c>
      <c r="G269" s="3" t="s">
        <v>37</v>
      </c>
      <c r="H269" s="2">
        <v>65</v>
      </c>
      <c r="I269" s="2">
        <v>71</v>
      </c>
      <c r="J269" s="2">
        <v>240</v>
      </c>
      <c r="K269" s="2">
        <v>240</v>
      </c>
    </row>
    <row r="270" spans="1:11" x14ac:dyDescent="0.25">
      <c r="A270" t="s">
        <v>32</v>
      </c>
      <c r="B270" t="s">
        <v>22</v>
      </c>
      <c r="C270" s="2" t="s">
        <v>6</v>
      </c>
      <c r="D270" s="2">
        <f t="shared" si="14"/>
        <v>2025</v>
      </c>
      <c r="E270" s="2" t="str">
        <f t="shared" si="16"/>
        <v>May</v>
      </c>
      <c r="F270" s="3">
        <f t="shared" si="15"/>
        <v>45778</v>
      </c>
      <c r="G270" s="3" t="s">
        <v>37</v>
      </c>
      <c r="H270" s="2">
        <v>84</v>
      </c>
      <c r="I270" s="2">
        <v>78</v>
      </c>
      <c r="J270" s="2">
        <v>258</v>
      </c>
      <c r="K270" s="2">
        <v>279</v>
      </c>
    </row>
    <row r="271" spans="1:11" x14ac:dyDescent="0.25">
      <c r="A271" t="s">
        <v>32</v>
      </c>
      <c r="B271" t="s">
        <v>22</v>
      </c>
      <c r="C271" s="2" t="s">
        <v>6</v>
      </c>
      <c r="D271" s="2">
        <f t="shared" si="14"/>
        <v>2025</v>
      </c>
      <c r="E271" s="2" t="str">
        <f t="shared" si="16"/>
        <v>Jun</v>
      </c>
      <c r="F271" s="3">
        <f t="shared" si="15"/>
        <v>45809</v>
      </c>
      <c r="G271" s="3" t="s">
        <v>37</v>
      </c>
      <c r="H271" s="2">
        <v>104</v>
      </c>
      <c r="I271" s="2">
        <v>105</v>
      </c>
      <c r="J271" s="2">
        <v>258</v>
      </c>
      <c r="K271" s="2">
        <v>277</v>
      </c>
    </row>
    <row r="272" spans="1:11" x14ac:dyDescent="0.25">
      <c r="A272" t="s">
        <v>32</v>
      </c>
      <c r="B272" t="s">
        <v>22</v>
      </c>
      <c r="C272" s="2" t="s">
        <v>6</v>
      </c>
      <c r="D272" s="2">
        <f t="shared" si="14"/>
        <v>2025</v>
      </c>
      <c r="E272" s="2" t="str">
        <f t="shared" si="16"/>
        <v>Jul</v>
      </c>
      <c r="F272" s="3">
        <f t="shared" si="15"/>
        <v>45839</v>
      </c>
      <c r="G272" s="3" t="s">
        <v>37</v>
      </c>
      <c r="H272" s="2">
        <v>65</v>
      </c>
      <c r="I272" s="2">
        <v>59</v>
      </c>
      <c r="J272" s="2">
        <v>226</v>
      </c>
      <c r="K272" s="2">
        <v>222</v>
      </c>
    </row>
    <row r="273" spans="1:11" x14ac:dyDescent="0.25">
      <c r="A273" t="s">
        <v>32</v>
      </c>
      <c r="B273" t="s">
        <v>22</v>
      </c>
      <c r="C273" s="2" t="s">
        <v>6</v>
      </c>
      <c r="D273" s="2">
        <f t="shared" si="14"/>
        <v>2025</v>
      </c>
      <c r="E273" s="2" t="str">
        <f t="shared" si="16"/>
        <v>Aug</v>
      </c>
      <c r="F273" s="3">
        <f t="shared" si="15"/>
        <v>45870</v>
      </c>
      <c r="G273" s="3" t="s">
        <v>37</v>
      </c>
      <c r="H273" s="2">
        <v>90</v>
      </c>
      <c r="I273" s="2">
        <v>93</v>
      </c>
      <c r="J273" s="2">
        <v>287</v>
      </c>
      <c r="K273" s="2">
        <v>271</v>
      </c>
    </row>
    <row r="274" spans="1:11" x14ac:dyDescent="0.25">
      <c r="A274" t="s">
        <v>32</v>
      </c>
      <c r="B274" t="s">
        <v>22</v>
      </c>
      <c r="C274" s="2" t="s">
        <v>6</v>
      </c>
      <c r="D274" s="2">
        <f t="shared" si="14"/>
        <v>2025</v>
      </c>
      <c r="E274" s="2" t="str">
        <f t="shared" si="16"/>
        <v>Sep</v>
      </c>
      <c r="F274" s="3">
        <f t="shared" si="15"/>
        <v>45901</v>
      </c>
      <c r="G274" s="3" t="s">
        <v>37</v>
      </c>
      <c r="H274" s="2">
        <v>96</v>
      </c>
      <c r="I274" s="2">
        <v>100</v>
      </c>
      <c r="J274" s="2">
        <v>186</v>
      </c>
      <c r="K274" s="2">
        <v>179</v>
      </c>
    </row>
    <row r="275" spans="1:11" x14ac:dyDescent="0.25">
      <c r="A275" t="s">
        <v>32</v>
      </c>
      <c r="B275" t="s">
        <v>22</v>
      </c>
      <c r="C275" s="2" t="s">
        <v>6</v>
      </c>
      <c r="D275" s="2">
        <f t="shared" si="14"/>
        <v>2025</v>
      </c>
      <c r="E275" s="2" t="str">
        <f t="shared" si="16"/>
        <v>Oct</v>
      </c>
      <c r="F275" s="3">
        <f t="shared" si="15"/>
        <v>45931</v>
      </c>
      <c r="G275" s="3" t="s">
        <v>37</v>
      </c>
      <c r="H275" s="2">
        <v>67</v>
      </c>
      <c r="I275" s="2">
        <v>63</v>
      </c>
      <c r="J275" s="2">
        <v>200</v>
      </c>
      <c r="K275" s="2">
        <v>206</v>
      </c>
    </row>
    <row r="276" spans="1:11" x14ac:dyDescent="0.25">
      <c r="A276" t="s">
        <v>32</v>
      </c>
      <c r="B276" t="s">
        <v>22</v>
      </c>
      <c r="C276" s="2" t="s">
        <v>6</v>
      </c>
      <c r="D276" s="2">
        <f t="shared" si="14"/>
        <v>2025</v>
      </c>
      <c r="E276" s="2" t="str">
        <f t="shared" si="16"/>
        <v>Nov</v>
      </c>
      <c r="F276" s="3">
        <f t="shared" si="15"/>
        <v>45962</v>
      </c>
      <c r="G276" s="3" t="s">
        <v>37</v>
      </c>
      <c r="H276" s="2">
        <v>72</v>
      </c>
      <c r="I276" s="2">
        <v>68</v>
      </c>
      <c r="J276" s="2">
        <v>240</v>
      </c>
      <c r="K276" s="2">
        <v>257</v>
      </c>
    </row>
    <row r="277" spans="1:11" x14ac:dyDescent="0.25">
      <c r="A277" t="s">
        <v>32</v>
      </c>
      <c r="B277" t="s">
        <v>22</v>
      </c>
      <c r="C277" s="2" t="s">
        <v>6</v>
      </c>
      <c r="D277" s="2">
        <f t="shared" si="14"/>
        <v>2025</v>
      </c>
      <c r="E277" s="2" t="str">
        <f t="shared" si="16"/>
        <v>Dec</v>
      </c>
      <c r="F277" s="3">
        <f t="shared" si="15"/>
        <v>45992</v>
      </c>
      <c r="G277" s="3" t="s">
        <v>37</v>
      </c>
      <c r="H277" s="2">
        <v>92</v>
      </c>
      <c r="I277" s="2">
        <v>94</v>
      </c>
      <c r="J277" s="2">
        <v>184</v>
      </c>
      <c r="K277" s="2">
        <v>177</v>
      </c>
    </row>
    <row r="278" spans="1:11" x14ac:dyDescent="0.25">
      <c r="A278" t="s">
        <v>32</v>
      </c>
      <c r="B278" t="s">
        <v>22</v>
      </c>
      <c r="C278" s="2" t="s">
        <v>6</v>
      </c>
      <c r="D278" s="2">
        <f t="shared" si="14"/>
        <v>2026</v>
      </c>
      <c r="E278" s="2" t="str">
        <f t="shared" si="16"/>
        <v>Jan</v>
      </c>
      <c r="F278" s="3">
        <f t="shared" si="15"/>
        <v>46023</v>
      </c>
      <c r="G278" s="3" t="s">
        <v>37</v>
      </c>
      <c r="H278" s="2">
        <v>96</v>
      </c>
      <c r="I278" s="2">
        <v>101</v>
      </c>
      <c r="J278" s="2">
        <v>272</v>
      </c>
      <c r="K278" s="2">
        <v>270</v>
      </c>
    </row>
    <row r="279" spans="1:11" x14ac:dyDescent="0.25">
      <c r="A279" t="s">
        <v>32</v>
      </c>
      <c r="B279" t="s">
        <v>22</v>
      </c>
      <c r="C279" s="2" t="s">
        <v>6</v>
      </c>
      <c r="D279" s="2">
        <f t="shared" si="14"/>
        <v>2026</v>
      </c>
      <c r="E279" s="2" t="str">
        <f t="shared" si="16"/>
        <v>Feb</v>
      </c>
      <c r="F279" s="3">
        <f t="shared" si="15"/>
        <v>46054</v>
      </c>
      <c r="G279" s="3" t="s">
        <v>37</v>
      </c>
      <c r="H279" s="2">
        <v>74</v>
      </c>
      <c r="I279" s="2">
        <v>78</v>
      </c>
      <c r="J279" s="2">
        <v>234</v>
      </c>
      <c r="K279" s="2">
        <v>232</v>
      </c>
    </row>
    <row r="280" spans="1:11" x14ac:dyDescent="0.25">
      <c r="A280" t="s">
        <v>32</v>
      </c>
      <c r="B280" t="s">
        <v>22</v>
      </c>
      <c r="C280" s="2" t="s">
        <v>6</v>
      </c>
      <c r="D280" s="2">
        <f t="shared" si="14"/>
        <v>2026</v>
      </c>
      <c r="E280" s="2" t="str">
        <f t="shared" si="16"/>
        <v>Mar</v>
      </c>
      <c r="F280" s="3">
        <f t="shared" si="15"/>
        <v>46082</v>
      </c>
      <c r="G280" s="3" t="s">
        <v>37</v>
      </c>
      <c r="H280" s="2">
        <v>56</v>
      </c>
      <c r="I280" s="2">
        <v>51</v>
      </c>
      <c r="J280" s="2">
        <v>253</v>
      </c>
      <c r="K280" s="2">
        <v>259</v>
      </c>
    </row>
    <row r="281" spans="1:11" x14ac:dyDescent="0.25">
      <c r="A281" t="s">
        <v>32</v>
      </c>
      <c r="B281" t="s">
        <v>22</v>
      </c>
      <c r="C281" s="2" t="s">
        <v>6</v>
      </c>
      <c r="D281" s="2">
        <f t="shared" si="14"/>
        <v>2026</v>
      </c>
      <c r="E281" s="2" t="str">
        <f t="shared" si="16"/>
        <v>Apr</v>
      </c>
      <c r="F281" s="3">
        <f t="shared" si="15"/>
        <v>46113</v>
      </c>
      <c r="G281" s="3" t="s">
        <v>37</v>
      </c>
      <c r="H281" s="2">
        <v>50</v>
      </c>
      <c r="I281" s="2">
        <v>45</v>
      </c>
      <c r="J281" s="2">
        <v>209</v>
      </c>
      <c r="K281" s="2">
        <v>221</v>
      </c>
    </row>
    <row r="282" spans="1:11" x14ac:dyDescent="0.25">
      <c r="A282" t="s">
        <v>32</v>
      </c>
      <c r="B282" t="s">
        <v>22</v>
      </c>
      <c r="C282" s="2" t="s">
        <v>6</v>
      </c>
      <c r="D282" s="2">
        <f t="shared" si="14"/>
        <v>2026</v>
      </c>
      <c r="E282" s="2" t="str">
        <f t="shared" si="16"/>
        <v>May</v>
      </c>
      <c r="F282" s="3">
        <f t="shared" si="15"/>
        <v>46143</v>
      </c>
      <c r="G282" s="3" t="s">
        <v>37</v>
      </c>
      <c r="H282" s="2">
        <v>52</v>
      </c>
      <c r="I282" s="2">
        <v>49</v>
      </c>
      <c r="J282" s="2">
        <v>181</v>
      </c>
      <c r="K282" s="2">
        <v>178</v>
      </c>
    </row>
    <row r="283" spans="1:11" x14ac:dyDescent="0.25">
      <c r="A283" t="s">
        <v>32</v>
      </c>
      <c r="B283" t="s">
        <v>22</v>
      </c>
      <c r="C283" s="2" t="s">
        <v>6</v>
      </c>
      <c r="D283" s="2">
        <f t="shared" si="14"/>
        <v>2026</v>
      </c>
      <c r="E283" s="2" t="str">
        <f t="shared" si="16"/>
        <v>Jun</v>
      </c>
      <c r="F283" s="3">
        <f t="shared" si="15"/>
        <v>46174</v>
      </c>
      <c r="G283" s="3" t="s">
        <v>37</v>
      </c>
      <c r="H283" s="2">
        <v>65</v>
      </c>
      <c r="I283" s="2">
        <v>68</v>
      </c>
      <c r="J283" s="2">
        <v>233</v>
      </c>
      <c r="K283" s="2">
        <v>230</v>
      </c>
    </row>
    <row r="284" spans="1:11" x14ac:dyDescent="0.25">
      <c r="A284" t="s">
        <v>32</v>
      </c>
      <c r="B284" t="s">
        <v>22</v>
      </c>
      <c r="C284" s="2" t="s">
        <v>6</v>
      </c>
      <c r="D284" s="2">
        <f t="shared" si="14"/>
        <v>2026</v>
      </c>
      <c r="E284" s="2" t="str">
        <f t="shared" si="16"/>
        <v>Jul</v>
      </c>
      <c r="F284" s="3">
        <f t="shared" si="15"/>
        <v>46204</v>
      </c>
      <c r="G284" s="3" t="s">
        <v>37</v>
      </c>
      <c r="H284" s="2">
        <v>59</v>
      </c>
      <c r="I284" s="2">
        <v>64</v>
      </c>
      <c r="J284" s="2">
        <v>253</v>
      </c>
      <c r="K284" s="2">
        <v>264</v>
      </c>
    </row>
    <row r="285" spans="1:11" x14ac:dyDescent="0.25">
      <c r="A285" t="s">
        <v>32</v>
      </c>
      <c r="B285" t="s">
        <v>22</v>
      </c>
      <c r="C285" s="2" t="s">
        <v>6</v>
      </c>
      <c r="D285" s="2">
        <f t="shared" si="14"/>
        <v>2026</v>
      </c>
      <c r="E285" s="2" t="str">
        <f t="shared" si="16"/>
        <v>Aug</v>
      </c>
      <c r="F285" s="3">
        <f t="shared" si="15"/>
        <v>46235</v>
      </c>
      <c r="G285" s="3" t="s">
        <v>37</v>
      </c>
      <c r="H285" s="2">
        <v>47</v>
      </c>
      <c r="I285" s="2">
        <v>42</v>
      </c>
      <c r="J285" s="2">
        <v>239</v>
      </c>
      <c r="K285" s="2">
        <v>257</v>
      </c>
    </row>
    <row r="286" spans="1:11" x14ac:dyDescent="0.25">
      <c r="A286" t="s">
        <v>32</v>
      </c>
      <c r="B286" t="s">
        <v>22</v>
      </c>
      <c r="C286" s="2" t="s">
        <v>6</v>
      </c>
      <c r="D286" s="2">
        <f t="shared" si="14"/>
        <v>2026</v>
      </c>
      <c r="E286" s="2" t="str">
        <f t="shared" si="16"/>
        <v>Sep</v>
      </c>
      <c r="F286" s="3">
        <f t="shared" si="15"/>
        <v>46266</v>
      </c>
      <c r="G286" s="3" t="s">
        <v>37</v>
      </c>
      <c r="H286" s="2">
        <v>50</v>
      </c>
      <c r="I286" s="2">
        <v>48</v>
      </c>
      <c r="J286" s="2">
        <v>195</v>
      </c>
      <c r="K286" s="2">
        <v>183</v>
      </c>
    </row>
    <row r="287" spans="1:11" x14ac:dyDescent="0.25">
      <c r="A287" t="s">
        <v>32</v>
      </c>
      <c r="B287" t="s">
        <v>22</v>
      </c>
      <c r="C287" s="2" t="s">
        <v>6</v>
      </c>
      <c r="D287" s="2">
        <f t="shared" si="14"/>
        <v>2026</v>
      </c>
      <c r="E287" s="2" t="str">
        <f t="shared" si="16"/>
        <v>Oct</v>
      </c>
      <c r="F287" s="3">
        <f t="shared" si="15"/>
        <v>46296</v>
      </c>
      <c r="G287" s="3" t="s">
        <v>37</v>
      </c>
      <c r="H287" s="2">
        <v>60</v>
      </c>
      <c r="I287" s="2">
        <v>65</v>
      </c>
      <c r="J287" s="2">
        <v>248</v>
      </c>
      <c r="K287" s="2">
        <v>259</v>
      </c>
    </row>
    <row r="288" spans="1:11" x14ac:dyDescent="0.25">
      <c r="A288" t="s">
        <v>32</v>
      </c>
      <c r="B288" t="s">
        <v>22</v>
      </c>
      <c r="C288" s="2" t="s">
        <v>6</v>
      </c>
      <c r="D288" s="2">
        <f t="shared" si="14"/>
        <v>2026</v>
      </c>
      <c r="E288" s="2" t="str">
        <f t="shared" si="16"/>
        <v>Nov</v>
      </c>
      <c r="F288" s="3">
        <f t="shared" si="15"/>
        <v>46327</v>
      </c>
      <c r="G288" s="3" t="s">
        <v>37</v>
      </c>
      <c r="H288" s="2">
        <v>62</v>
      </c>
      <c r="I288" s="2">
        <v>61</v>
      </c>
      <c r="J288" s="2">
        <v>273</v>
      </c>
      <c r="K288" s="2">
        <v>261</v>
      </c>
    </row>
    <row r="289" spans="1:11" x14ac:dyDescent="0.25">
      <c r="A289" t="s">
        <v>32</v>
      </c>
      <c r="B289" t="s">
        <v>22</v>
      </c>
      <c r="C289" s="2" t="s">
        <v>6</v>
      </c>
      <c r="D289" s="2">
        <f t="shared" si="14"/>
        <v>2026</v>
      </c>
      <c r="E289" s="2" t="str">
        <f t="shared" si="16"/>
        <v>Dec</v>
      </c>
      <c r="F289" s="3">
        <f t="shared" si="15"/>
        <v>46357</v>
      </c>
      <c r="G289" s="3" t="s">
        <v>37</v>
      </c>
      <c r="H289" s="2">
        <v>52</v>
      </c>
      <c r="I289" s="2">
        <v>57</v>
      </c>
      <c r="J289" s="2">
        <v>245</v>
      </c>
      <c r="K289" s="2">
        <v>230</v>
      </c>
    </row>
    <row r="290" spans="1:11" x14ac:dyDescent="0.25">
      <c r="A290" t="s">
        <v>32</v>
      </c>
      <c r="B290" t="s">
        <v>22</v>
      </c>
      <c r="C290" s="2" t="s">
        <v>6</v>
      </c>
      <c r="D290" s="2">
        <f t="shared" si="14"/>
        <v>2027</v>
      </c>
      <c r="E290" s="2" t="str">
        <f t="shared" si="16"/>
        <v>Jan</v>
      </c>
      <c r="F290" s="3">
        <f t="shared" si="15"/>
        <v>46388</v>
      </c>
      <c r="G290" s="3" t="s">
        <v>37</v>
      </c>
      <c r="H290" s="2">
        <v>96</v>
      </c>
      <c r="I290" s="2">
        <v>101</v>
      </c>
      <c r="J290" s="2">
        <v>272</v>
      </c>
      <c r="K290" s="2">
        <v>270</v>
      </c>
    </row>
    <row r="291" spans="1:11" x14ac:dyDescent="0.25">
      <c r="A291" t="s">
        <v>32</v>
      </c>
      <c r="B291" t="s">
        <v>22</v>
      </c>
      <c r="C291" s="2" t="s">
        <v>6</v>
      </c>
      <c r="D291" s="2">
        <f t="shared" si="14"/>
        <v>2027</v>
      </c>
      <c r="E291" s="2" t="str">
        <f t="shared" si="16"/>
        <v>Feb</v>
      </c>
      <c r="F291" s="3">
        <f t="shared" si="15"/>
        <v>46419</v>
      </c>
      <c r="G291" s="3" t="s">
        <v>37</v>
      </c>
      <c r="H291" s="2">
        <v>74</v>
      </c>
      <c r="I291" s="2">
        <v>78</v>
      </c>
      <c r="J291" s="2">
        <v>234</v>
      </c>
      <c r="K291" s="2">
        <v>232</v>
      </c>
    </row>
    <row r="292" spans="1:11" x14ac:dyDescent="0.25">
      <c r="A292" t="s">
        <v>32</v>
      </c>
      <c r="B292" t="s">
        <v>22</v>
      </c>
      <c r="C292" s="2" t="s">
        <v>6</v>
      </c>
      <c r="D292" s="2">
        <f t="shared" si="14"/>
        <v>2027</v>
      </c>
      <c r="E292" s="2" t="str">
        <f t="shared" si="16"/>
        <v>Mar</v>
      </c>
      <c r="F292" s="3">
        <f t="shared" si="15"/>
        <v>46447</v>
      </c>
      <c r="G292" s="3" t="s">
        <v>37</v>
      </c>
      <c r="H292" s="2">
        <v>56</v>
      </c>
      <c r="I292" s="2">
        <v>51</v>
      </c>
      <c r="J292" s="2">
        <v>253</v>
      </c>
      <c r="K292" s="2">
        <v>259</v>
      </c>
    </row>
    <row r="293" spans="1:11" x14ac:dyDescent="0.25">
      <c r="A293" t="s">
        <v>32</v>
      </c>
      <c r="B293" t="s">
        <v>22</v>
      </c>
      <c r="C293" s="2" t="s">
        <v>6</v>
      </c>
      <c r="D293" s="2">
        <f t="shared" si="14"/>
        <v>2027</v>
      </c>
      <c r="E293" s="2" t="str">
        <f t="shared" si="16"/>
        <v>Apr</v>
      </c>
      <c r="F293" s="3">
        <f t="shared" si="15"/>
        <v>46478</v>
      </c>
      <c r="G293" s="3" t="s">
        <v>37</v>
      </c>
      <c r="H293" s="2">
        <v>50</v>
      </c>
      <c r="I293" s="2">
        <v>45</v>
      </c>
      <c r="J293" s="2">
        <v>209</v>
      </c>
      <c r="K293" s="2">
        <v>221</v>
      </c>
    </row>
    <row r="294" spans="1:11" x14ac:dyDescent="0.25">
      <c r="A294" t="s">
        <v>32</v>
      </c>
      <c r="B294" t="s">
        <v>22</v>
      </c>
      <c r="C294" s="2" t="s">
        <v>6</v>
      </c>
      <c r="D294" s="2">
        <f t="shared" si="14"/>
        <v>2027</v>
      </c>
      <c r="E294" s="2" t="str">
        <f t="shared" si="16"/>
        <v>May</v>
      </c>
      <c r="F294" s="3">
        <f t="shared" si="15"/>
        <v>46508</v>
      </c>
      <c r="G294" s="3" t="s">
        <v>37</v>
      </c>
      <c r="H294" s="2">
        <v>52</v>
      </c>
      <c r="I294" s="2">
        <v>49</v>
      </c>
      <c r="J294" s="2">
        <v>181</v>
      </c>
      <c r="K294" s="2">
        <v>178</v>
      </c>
    </row>
    <row r="295" spans="1:11" x14ac:dyDescent="0.25">
      <c r="A295" t="s">
        <v>32</v>
      </c>
      <c r="B295" t="s">
        <v>22</v>
      </c>
      <c r="C295" s="2" t="s">
        <v>6</v>
      </c>
      <c r="D295" s="2">
        <f t="shared" si="14"/>
        <v>2027</v>
      </c>
      <c r="E295" s="2" t="str">
        <f t="shared" si="16"/>
        <v>Jun</v>
      </c>
      <c r="F295" s="3">
        <f t="shared" si="15"/>
        <v>46539</v>
      </c>
      <c r="G295" s="3" t="s">
        <v>37</v>
      </c>
      <c r="H295" s="2">
        <v>65</v>
      </c>
      <c r="I295" s="2">
        <v>68</v>
      </c>
      <c r="J295" s="2">
        <v>233</v>
      </c>
      <c r="K295" s="2">
        <v>230</v>
      </c>
    </row>
    <row r="296" spans="1:11" x14ac:dyDescent="0.25">
      <c r="A296" t="s">
        <v>32</v>
      </c>
      <c r="B296" t="s">
        <v>22</v>
      </c>
      <c r="C296" s="2" t="s">
        <v>6</v>
      </c>
      <c r="D296" s="2">
        <f t="shared" si="14"/>
        <v>2027</v>
      </c>
      <c r="E296" s="2" t="str">
        <f t="shared" si="16"/>
        <v>Jul</v>
      </c>
      <c r="F296" s="3">
        <f t="shared" si="15"/>
        <v>46569</v>
      </c>
      <c r="G296" s="3" t="s">
        <v>37</v>
      </c>
      <c r="H296" s="2">
        <v>59</v>
      </c>
      <c r="I296" s="2">
        <v>64</v>
      </c>
      <c r="J296" s="2">
        <v>253</v>
      </c>
      <c r="K296" s="2">
        <v>264</v>
      </c>
    </row>
    <row r="297" spans="1:11" x14ac:dyDescent="0.25">
      <c r="A297" t="s">
        <v>32</v>
      </c>
      <c r="B297" t="s">
        <v>22</v>
      </c>
      <c r="C297" s="2" t="s">
        <v>6</v>
      </c>
      <c r="D297" s="2">
        <f t="shared" si="14"/>
        <v>2027</v>
      </c>
      <c r="E297" s="2" t="str">
        <f t="shared" si="16"/>
        <v>Aug</v>
      </c>
      <c r="F297" s="3">
        <f t="shared" si="15"/>
        <v>46600</v>
      </c>
      <c r="G297" s="3" t="s">
        <v>37</v>
      </c>
      <c r="H297" s="2">
        <v>47</v>
      </c>
      <c r="I297" s="2">
        <v>42</v>
      </c>
      <c r="J297" s="2">
        <v>239</v>
      </c>
      <c r="K297" s="2">
        <v>257</v>
      </c>
    </row>
    <row r="298" spans="1:11" x14ac:dyDescent="0.25">
      <c r="A298" t="s">
        <v>32</v>
      </c>
      <c r="B298" t="s">
        <v>22</v>
      </c>
      <c r="C298" s="2" t="s">
        <v>6</v>
      </c>
      <c r="D298" s="2">
        <f t="shared" si="14"/>
        <v>2027</v>
      </c>
      <c r="E298" s="2" t="str">
        <f t="shared" si="16"/>
        <v>Sep</v>
      </c>
      <c r="F298" s="3">
        <f t="shared" si="15"/>
        <v>46631</v>
      </c>
      <c r="G298" s="3" t="s">
        <v>37</v>
      </c>
      <c r="H298" s="2">
        <v>50</v>
      </c>
      <c r="I298" s="2">
        <v>48</v>
      </c>
      <c r="J298" s="2">
        <v>195</v>
      </c>
      <c r="K298" s="2">
        <v>183</v>
      </c>
    </row>
    <row r="299" spans="1:11" x14ac:dyDescent="0.25">
      <c r="A299" t="s">
        <v>32</v>
      </c>
      <c r="B299" t="s">
        <v>22</v>
      </c>
      <c r="C299" s="2" t="s">
        <v>6</v>
      </c>
      <c r="D299" s="2">
        <f t="shared" si="14"/>
        <v>2027</v>
      </c>
      <c r="E299" s="2" t="str">
        <f t="shared" si="16"/>
        <v>Oct</v>
      </c>
      <c r="F299" s="3">
        <f t="shared" si="15"/>
        <v>46661</v>
      </c>
      <c r="G299" s="3" t="s">
        <v>37</v>
      </c>
      <c r="H299" s="2">
        <v>60</v>
      </c>
      <c r="I299" s="2">
        <v>65</v>
      </c>
      <c r="J299" s="2">
        <v>248</v>
      </c>
      <c r="K299" s="2">
        <v>259</v>
      </c>
    </row>
    <row r="300" spans="1:11" x14ac:dyDescent="0.25">
      <c r="A300" t="s">
        <v>32</v>
      </c>
      <c r="B300" t="s">
        <v>22</v>
      </c>
      <c r="C300" s="2" t="s">
        <v>6</v>
      </c>
      <c r="D300" s="2">
        <f t="shared" si="14"/>
        <v>2027</v>
      </c>
      <c r="E300" s="2" t="str">
        <f t="shared" si="16"/>
        <v>Nov</v>
      </c>
      <c r="F300" s="3">
        <f t="shared" si="15"/>
        <v>46692</v>
      </c>
      <c r="G300" s="3" t="s">
        <v>37</v>
      </c>
      <c r="H300" s="2">
        <v>62</v>
      </c>
      <c r="I300" s="2">
        <v>61</v>
      </c>
      <c r="J300" s="2">
        <v>273</v>
      </c>
      <c r="K300" s="2">
        <v>261</v>
      </c>
    </row>
    <row r="301" spans="1:11" x14ac:dyDescent="0.25">
      <c r="A301" t="s">
        <v>32</v>
      </c>
      <c r="B301" t="s">
        <v>22</v>
      </c>
      <c r="C301" s="2" t="s">
        <v>6</v>
      </c>
      <c r="D301" s="2">
        <f t="shared" si="14"/>
        <v>2027</v>
      </c>
      <c r="E301" s="2" t="str">
        <f t="shared" si="16"/>
        <v>Dec</v>
      </c>
      <c r="F301" s="3">
        <f t="shared" si="15"/>
        <v>46722</v>
      </c>
      <c r="G301" s="3" t="s">
        <v>37</v>
      </c>
      <c r="H301" s="2">
        <v>52</v>
      </c>
      <c r="I301" s="2">
        <v>57</v>
      </c>
      <c r="J301" s="2">
        <v>245</v>
      </c>
      <c r="K301" s="2">
        <v>230</v>
      </c>
    </row>
    <row r="302" spans="1:11" x14ac:dyDescent="0.25">
      <c r="A302" t="s">
        <v>33</v>
      </c>
      <c r="B302" t="s">
        <v>22</v>
      </c>
      <c r="C302" s="2" t="s">
        <v>5</v>
      </c>
      <c r="D302" s="2">
        <f>YEAR(F302)</f>
        <v>2023</v>
      </c>
      <c r="E302" s="2" t="str">
        <f>TEXT(F302,"mmm")</f>
        <v>Jan</v>
      </c>
      <c r="F302" s="3">
        <v>44927</v>
      </c>
      <c r="G302" s="3" t="s">
        <v>37</v>
      </c>
      <c r="H302" s="2">
        <v>60</v>
      </c>
      <c r="I302" s="2">
        <v>58</v>
      </c>
      <c r="J302" s="2">
        <v>183</v>
      </c>
      <c r="K302" s="2">
        <v>176</v>
      </c>
    </row>
    <row r="303" spans="1:11" x14ac:dyDescent="0.25">
      <c r="A303" t="s">
        <v>33</v>
      </c>
      <c r="B303" t="s">
        <v>22</v>
      </c>
      <c r="C303" s="2" t="s">
        <v>5</v>
      </c>
      <c r="D303" s="2">
        <f t="shared" ref="D303:D361" si="17">YEAR(F303)</f>
        <v>2023</v>
      </c>
      <c r="E303" s="2" t="str">
        <f t="shared" ref="E303:E361" si="18">TEXT(F303,"mmm")</f>
        <v>Feb</v>
      </c>
      <c r="F303" s="3">
        <f>EOMONTH(F302,0)+1</f>
        <v>44958</v>
      </c>
      <c r="G303" s="3" t="s">
        <v>37</v>
      </c>
      <c r="H303" s="2">
        <v>69</v>
      </c>
      <c r="I303" s="2">
        <v>66</v>
      </c>
      <c r="J303" s="2">
        <v>281</v>
      </c>
      <c r="K303" s="2">
        <v>277</v>
      </c>
    </row>
    <row r="304" spans="1:11" x14ac:dyDescent="0.25">
      <c r="A304" t="s">
        <v>33</v>
      </c>
      <c r="B304" t="s">
        <v>22</v>
      </c>
      <c r="C304" s="2" t="s">
        <v>5</v>
      </c>
      <c r="D304" s="2">
        <f t="shared" si="17"/>
        <v>2023</v>
      </c>
      <c r="E304" s="2" t="str">
        <f t="shared" si="18"/>
        <v>Mar</v>
      </c>
      <c r="F304" s="3">
        <f t="shared" ref="F304:F361" si="19">EOMONTH(F303,0)+1</f>
        <v>44986</v>
      </c>
      <c r="G304" s="3" t="s">
        <v>37</v>
      </c>
      <c r="H304" s="2">
        <v>42</v>
      </c>
      <c r="I304" s="2">
        <v>43</v>
      </c>
      <c r="J304" s="2">
        <v>280</v>
      </c>
      <c r="K304" s="2">
        <v>294</v>
      </c>
    </row>
    <row r="305" spans="1:11" x14ac:dyDescent="0.25">
      <c r="A305" t="s">
        <v>33</v>
      </c>
      <c r="B305" t="s">
        <v>22</v>
      </c>
      <c r="C305" s="2" t="s">
        <v>5</v>
      </c>
      <c r="D305" s="2">
        <f t="shared" si="17"/>
        <v>2023</v>
      </c>
      <c r="E305" s="2" t="str">
        <f t="shared" si="18"/>
        <v>Apr</v>
      </c>
      <c r="F305" s="3">
        <f t="shared" si="19"/>
        <v>45017</v>
      </c>
      <c r="G305" s="3" t="s">
        <v>37</v>
      </c>
      <c r="H305" s="2">
        <v>59</v>
      </c>
      <c r="I305" s="2">
        <v>61</v>
      </c>
      <c r="J305" s="2">
        <v>232</v>
      </c>
      <c r="K305" s="2">
        <v>230</v>
      </c>
    </row>
    <row r="306" spans="1:11" x14ac:dyDescent="0.25">
      <c r="A306" t="s">
        <v>33</v>
      </c>
      <c r="B306" t="s">
        <v>22</v>
      </c>
      <c r="C306" s="2" t="s">
        <v>5</v>
      </c>
      <c r="D306" s="2">
        <f t="shared" si="17"/>
        <v>2023</v>
      </c>
      <c r="E306" s="2" t="str">
        <f t="shared" si="18"/>
        <v>May</v>
      </c>
      <c r="F306" s="3">
        <f t="shared" si="19"/>
        <v>45047</v>
      </c>
      <c r="G306" s="3" t="s">
        <v>37</v>
      </c>
      <c r="H306" s="2">
        <v>84</v>
      </c>
      <c r="I306" s="2">
        <v>84</v>
      </c>
      <c r="J306" s="2">
        <v>203</v>
      </c>
      <c r="K306" s="2">
        <v>198</v>
      </c>
    </row>
    <row r="307" spans="1:11" x14ac:dyDescent="0.25">
      <c r="A307" t="s">
        <v>33</v>
      </c>
      <c r="B307" t="s">
        <v>22</v>
      </c>
      <c r="C307" s="2" t="s">
        <v>5</v>
      </c>
      <c r="D307" s="2">
        <f t="shared" si="17"/>
        <v>2023</v>
      </c>
      <c r="E307" s="2" t="str">
        <f t="shared" si="18"/>
        <v>Jun</v>
      </c>
      <c r="F307" s="3">
        <f t="shared" si="19"/>
        <v>45078</v>
      </c>
      <c r="G307" s="3" t="s">
        <v>37</v>
      </c>
      <c r="H307" s="2">
        <v>93</v>
      </c>
      <c r="I307" s="2">
        <v>101</v>
      </c>
      <c r="J307" s="2">
        <v>276</v>
      </c>
      <c r="K307" s="2">
        <v>287</v>
      </c>
    </row>
    <row r="308" spans="1:11" x14ac:dyDescent="0.25">
      <c r="A308" t="s">
        <v>33</v>
      </c>
      <c r="B308" t="s">
        <v>22</v>
      </c>
      <c r="C308" s="2" t="s">
        <v>5</v>
      </c>
      <c r="D308" s="2">
        <f t="shared" si="17"/>
        <v>2023</v>
      </c>
      <c r="E308" s="2" t="str">
        <f t="shared" si="18"/>
        <v>Jul</v>
      </c>
      <c r="F308" s="3">
        <f t="shared" si="19"/>
        <v>45108</v>
      </c>
      <c r="G308" s="3" t="s">
        <v>37</v>
      </c>
      <c r="H308" s="2">
        <v>93</v>
      </c>
      <c r="I308" s="2">
        <v>94</v>
      </c>
      <c r="J308" s="2">
        <v>214</v>
      </c>
      <c r="K308" s="2">
        <v>229</v>
      </c>
    </row>
    <row r="309" spans="1:11" x14ac:dyDescent="0.25">
      <c r="A309" t="s">
        <v>33</v>
      </c>
      <c r="B309" t="s">
        <v>22</v>
      </c>
      <c r="C309" s="2" t="s">
        <v>5</v>
      </c>
      <c r="D309" s="2">
        <f t="shared" si="17"/>
        <v>2023</v>
      </c>
      <c r="E309" s="2" t="str">
        <f t="shared" si="18"/>
        <v>Aug</v>
      </c>
      <c r="F309" s="3">
        <f t="shared" si="19"/>
        <v>45139</v>
      </c>
      <c r="G309" s="3" t="s">
        <v>37</v>
      </c>
      <c r="H309" s="2">
        <v>94</v>
      </c>
      <c r="I309" s="2">
        <v>96</v>
      </c>
      <c r="J309" s="2">
        <v>298</v>
      </c>
      <c r="K309" s="2">
        <v>302</v>
      </c>
    </row>
    <row r="310" spans="1:11" x14ac:dyDescent="0.25">
      <c r="A310" t="s">
        <v>33</v>
      </c>
      <c r="B310" t="s">
        <v>22</v>
      </c>
      <c r="C310" s="2" t="s">
        <v>5</v>
      </c>
      <c r="D310" s="2">
        <f t="shared" si="17"/>
        <v>2023</v>
      </c>
      <c r="E310" s="2" t="str">
        <f t="shared" si="18"/>
        <v>Sep</v>
      </c>
      <c r="F310" s="3">
        <f t="shared" si="19"/>
        <v>45170</v>
      </c>
      <c r="G310" s="3" t="s">
        <v>37</v>
      </c>
      <c r="H310" s="2">
        <v>95</v>
      </c>
      <c r="I310" s="2">
        <v>95</v>
      </c>
      <c r="J310" s="2">
        <v>292</v>
      </c>
      <c r="K310" s="2">
        <v>273</v>
      </c>
    </row>
    <row r="311" spans="1:11" x14ac:dyDescent="0.25">
      <c r="A311" t="s">
        <v>33</v>
      </c>
      <c r="B311" t="s">
        <v>22</v>
      </c>
      <c r="C311" s="2" t="s">
        <v>5</v>
      </c>
      <c r="D311" s="2">
        <f t="shared" si="17"/>
        <v>2023</v>
      </c>
      <c r="E311" s="2" t="str">
        <f t="shared" si="18"/>
        <v>Oct</v>
      </c>
      <c r="F311" s="3">
        <f t="shared" si="19"/>
        <v>45200</v>
      </c>
      <c r="G311" s="3" t="s">
        <v>37</v>
      </c>
      <c r="H311" s="2">
        <v>102</v>
      </c>
      <c r="I311" s="2">
        <v>94</v>
      </c>
      <c r="J311" s="2">
        <v>239</v>
      </c>
      <c r="K311" s="2">
        <v>228</v>
      </c>
    </row>
    <row r="312" spans="1:11" x14ac:dyDescent="0.25">
      <c r="A312" t="s">
        <v>33</v>
      </c>
      <c r="B312" t="s">
        <v>22</v>
      </c>
      <c r="C312" s="2" t="s">
        <v>5</v>
      </c>
      <c r="D312" s="2">
        <f t="shared" si="17"/>
        <v>2023</v>
      </c>
      <c r="E312" s="2" t="str">
        <f t="shared" si="18"/>
        <v>Nov</v>
      </c>
      <c r="F312" s="3">
        <f t="shared" si="19"/>
        <v>45231</v>
      </c>
      <c r="G312" s="3" t="s">
        <v>37</v>
      </c>
      <c r="H312" s="2">
        <v>61</v>
      </c>
      <c r="I312" s="2">
        <v>60</v>
      </c>
      <c r="J312" s="2">
        <v>238</v>
      </c>
      <c r="K312" s="2">
        <v>231</v>
      </c>
    </row>
    <row r="313" spans="1:11" x14ac:dyDescent="0.25">
      <c r="A313" t="s">
        <v>33</v>
      </c>
      <c r="B313" t="s">
        <v>22</v>
      </c>
      <c r="C313" s="2" t="s">
        <v>5</v>
      </c>
      <c r="D313" s="2">
        <f t="shared" si="17"/>
        <v>2023</v>
      </c>
      <c r="E313" s="2" t="str">
        <f t="shared" si="18"/>
        <v>Dec</v>
      </c>
      <c r="F313" s="3">
        <f t="shared" si="19"/>
        <v>45261</v>
      </c>
      <c r="G313" s="3" t="s">
        <v>37</v>
      </c>
      <c r="H313" s="2">
        <v>105</v>
      </c>
      <c r="I313" s="2">
        <v>95</v>
      </c>
      <c r="J313" s="2">
        <v>277</v>
      </c>
      <c r="K313" s="2">
        <v>274</v>
      </c>
    </row>
    <row r="314" spans="1:11" x14ac:dyDescent="0.25">
      <c r="A314" t="s">
        <v>33</v>
      </c>
      <c r="B314" t="s">
        <v>22</v>
      </c>
      <c r="C314" s="2" t="s">
        <v>5</v>
      </c>
      <c r="D314" s="2">
        <f t="shared" si="17"/>
        <v>2024</v>
      </c>
      <c r="E314" s="2" t="str">
        <f t="shared" si="18"/>
        <v>Jan</v>
      </c>
      <c r="F314" s="3">
        <f t="shared" si="19"/>
        <v>45292</v>
      </c>
      <c r="G314" s="3" t="s">
        <v>37</v>
      </c>
      <c r="H314" s="2">
        <v>68</v>
      </c>
      <c r="I314" s="2">
        <v>67</v>
      </c>
      <c r="J314" s="2">
        <v>197</v>
      </c>
      <c r="K314" s="2">
        <v>199</v>
      </c>
    </row>
    <row r="315" spans="1:11" x14ac:dyDescent="0.25">
      <c r="A315" t="s">
        <v>33</v>
      </c>
      <c r="B315" t="s">
        <v>22</v>
      </c>
      <c r="C315" s="2" t="s">
        <v>5</v>
      </c>
      <c r="D315" s="2">
        <f t="shared" si="17"/>
        <v>2024</v>
      </c>
      <c r="E315" s="2" t="str">
        <f t="shared" si="18"/>
        <v>Feb</v>
      </c>
      <c r="F315" s="3">
        <f t="shared" si="19"/>
        <v>45323</v>
      </c>
      <c r="G315" s="3" t="s">
        <v>37</v>
      </c>
      <c r="H315" s="2">
        <v>65</v>
      </c>
      <c r="I315" s="2">
        <v>66</v>
      </c>
      <c r="J315" s="2">
        <v>262</v>
      </c>
      <c r="K315" s="2">
        <v>267</v>
      </c>
    </row>
    <row r="316" spans="1:11" x14ac:dyDescent="0.25">
      <c r="A316" t="s">
        <v>33</v>
      </c>
      <c r="B316" t="s">
        <v>22</v>
      </c>
      <c r="C316" s="2" t="s">
        <v>5</v>
      </c>
      <c r="D316" s="2">
        <f t="shared" si="17"/>
        <v>2024</v>
      </c>
      <c r="E316" s="2" t="str">
        <f t="shared" si="18"/>
        <v>Mar</v>
      </c>
      <c r="F316" s="3">
        <f t="shared" si="19"/>
        <v>45352</v>
      </c>
      <c r="G316" s="3" t="s">
        <v>37</v>
      </c>
      <c r="H316" s="2">
        <v>53</v>
      </c>
      <c r="I316" s="2">
        <v>54</v>
      </c>
      <c r="J316" s="2">
        <v>293</v>
      </c>
      <c r="K316" s="2">
        <v>288</v>
      </c>
    </row>
    <row r="317" spans="1:11" x14ac:dyDescent="0.25">
      <c r="A317" t="s">
        <v>33</v>
      </c>
      <c r="B317" t="s">
        <v>22</v>
      </c>
      <c r="C317" s="2" t="s">
        <v>5</v>
      </c>
      <c r="D317" s="2">
        <f t="shared" si="17"/>
        <v>2024</v>
      </c>
      <c r="E317" s="2" t="str">
        <f t="shared" si="18"/>
        <v>Apr</v>
      </c>
      <c r="F317" s="3">
        <f t="shared" si="19"/>
        <v>45383</v>
      </c>
      <c r="G317" s="3" t="s">
        <v>37</v>
      </c>
      <c r="H317" s="2">
        <v>50</v>
      </c>
      <c r="I317" s="2">
        <v>50</v>
      </c>
      <c r="J317" s="2">
        <v>280</v>
      </c>
      <c r="K317" s="2">
        <v>300</v>
      </c>
    </row>
    <row r="318" spans="1:11" x14ac:dyDescent="0.25">
      <c r="A318" t="s">
        <v>33</v>
      </c>
      <c r="B318" t="s">
        <v>22</v>
      </c>
      <c r="C318" s="2" t="s">
        <v>5</v>
      </c>
      <c r="D318" s="2">
        <f t="shared" si="17"/>
        <v>2024</v>
      </c>
      <c r="E318" s="2" t="str">
        <f t="shared" si="18"/>
        <v>May</v>
      </c>
      <c r="F318" s="3">
        <f t="shared" si="19"/>
        <v>45413</v>
      </c>
      <c r="G318" s="3" t="s">
        <v>37</v>
      </c>
      <c r="H318" s="2">
        <v>52</v>
      </c>
      <c r="I318" s="2">
        <v>48</v>
      </c>
      <c r="J318" s="2">
        <v>288</v>
      </c>
      <c r="K318" s="2">
        <v>271</v>
      </c>
    </row>
    <row r="319" spans="1:11" x14ac:dyDescent="0.25">
      <c r="A319" t="s">
        <v>33</v>
      </c>
      <c r="B319" t="s">
        <v>22</v>
      </c>
      <c r="C319" s="2" t="s">
        <v>5</v>
      </c>
      <c r="D319" s="2">
        <f t="shared" si="17"/>
        <v>2024</v>
      </c>
      <c r="E319" s="2" t="str">
        <f t="shared" si="18"/>
        <v>Jun</v>
      </c>
      <c r="F319" s="3">
        <f t="shared" si="19"/>
        <v>45444</v>
      </c>
      <c r="G319" s="3" t="s">
        <v>37</v>
      </c>
      <c r="H319" s="2">
        <v>51</v>
      </c>
      <c r="I319" s="2">
        <v>52</v>
      </c>
      <c r="J319" s="2">
        <v>290</v>
      </c>
      <c r="K319" s="2">
        <v>287</v>
      </c>
    </row>
    <row r="320" spans="1:11" x14ac:dyDescent="0.25">
      <c r="A320" t="s">
        <v>33</v>
      </c>
      <c r="B320" t="s">
        <v>22</v>
      </c>
      <c r="C320" s="2" t="s">
        <v>5</v>
      </c>
      <c r="D320" s="2">
        <f t="shared" si="17"/>
        <v>2024</v>
      </c>
      <c r="E320" s="2" t="str">
        <f t="shared" si="18"/>
        <v>Jul</v>
      </c>
      <c r="F320" s="3">
        <f t="shared" si="19"/>
        <v>45474</v>
      </c>
      <c r="G320" s="3" t="s">
        <v>37</v>
      </c>
      <c r="H320" s="2">
        <v>61</v>
      </c>
      <c r="I320" s="2">
        <v>60</v>
      </c>
      <c r="J320" s="2">
        <v>258</v>
      </c>
      <c r="K320" s="2">
        <v>245</v>
      </c>
    </row>
    <row r="321" spans="1:11" x14ac:dyDescent="0.25">
      <c r="A321" t="s">
        <v>33</v>
      </c>
      <c r="B321" t="s">
        <v>22</v>
      </c>
      <c r="C321" s="2" t="s">
        <v>5</v>
      </c>
      <c r="D321" s="2">
        <f t="shared" si="17"/>
        <v>2024</v>
      </c>
      <c r="E321" s="2" t="str">
        <f t="shared" si="18"/>
        <v>Aug</v>
      </c>
      <c r="F321" s="3">
        <f t="shared" si="19"/>
        <v>45505</v>
      </c>
      <c r="G321" s="3" t="s">
        <v>37</v>
      </c>
      <c r="H321" s="2">
        <v>48</v>
      </c>
      <c r="I321" s="2">
        <v>52</v>
      </c>
      <c r="J321" s="2">
        <v>192</v>
      </c>
      <c r="K321" s="2">
        <v>194</v>
      </c>
    </row>
    <row r="322" spans="1:11" x14ac:dyDescent="0.25">
      <c r="A322" t="s">
        <v>33</v>
      </c>
      <c r="B322" t="s">
        <v>22</v>
      </c>
      <c r="C322" s="2" t="s">
        <v>5</v>
      </c>
      <c r="D322" s="2">
        <f t="shared" si="17"/>
        <v>2024</v>
      </c>
      <c r="E322" s="2" t="str">
        <f t="shared" si="18"/>
        <v>Sep</v>
      </c>
      <c r="F322" s="3">
        <f t="shared" si="19"/>
        <v>45536</v>
      </c>
      <c r="G322" s="3" t="s">
        <v>37</v>
      </c>
      <c r="H322" s="2">
        <v>56</v>
      </c>
      <c r="I322" s="2">
        <v>54</v>
      </c>
      <c r="J322" s="2">
        <v>295</v>
      </c>
      <c r="K322" s="2">
        <v>310</v>
      </c>
    </row>
    <row r="323" spans="1:11" x14ac:dyDescent="0.25">
      <c r="A323" t="s">
        <v>33</v>
      </c>
      <c r="B323" t="s">
        <v>22</v>
      </c>
      <c r="C323" s="2" t="s">
        <v>5</v>
      </c>
      <c r="D323" s="2">
        <f t="shared" si="17"/>
        <v>2024</v>
      </c>
      <c r="E323" s="2" t="str">
        <f t="shared" si="18"/>
        <v>Oct</v>
      </c>
      <c r="F323" s="3">
        <f t="shared" si="19"/>
        <v>45566</v>
      </c>
      <c r="G323" s="3" t="s">
        <v>37</v>
      </c>
      <c r="H323" s="2">
        <v>49</v>
      </c>
      <c r="I323" s="2">
        <v>47</v>
      </c>
      <c r="J323" s="2">
        <v>293</v>
      </c>
      <c r="K323" s="2">
        <v>282</v>
      </c>
    </row>
    <row r="324" spans="1:11" x14ac:dyDescent="0.25">
      <c r="A324" t="s">
        <v>33</v>
      </c>
      <c r="B324" t="s">
        <v>22</v>
      </c>
      <c r="C324" s="2" t="s">
        <v>5</v>
      </c>
      <c r="D324" s="2">
        <f t="shared" si="17"/>
        <v>2024</v>
      </c>
      <c r="E324" s="2" t="str">
        <f t="shared" si="18"/>
        <v>Nov</v>
      </c>
      <c r="F324" s="3">
        <f t="shared" si="19"/>
        <v>45597</v>
      </c>
      <c r="G324" s="3" t="s">
        <v>37</v>
      </c>
      <c r="H324" s="2">
        <v>42</v>
      </c>
      <c r="I324" s="2">
        <v>42</v>
      </c>
      <c r="J324" s="2">
        <v>202</v>
      </c>
      <c r="K324" s="2">
        <v>196</v>
      </c>
    </row>
    <row r="325" spans="1:11" x14ac:dyDescent="0.25">
      <c r="A325" t="s">
        <v>33</v>
      </c>
      <c r="B325" t="s">
        <v>22</v>
      </c>
      <c r="C325" s="2" t="s">
        <v>5</v>
      </c>
      <c r="D325" s="2">
        <f t="shared" si="17"/>
        <v>2024</v>
      </c>
      <c r="E325" s="2" t="str">
        <f t="shared" si="18"/>
        <v>Dec</v>
      </c>
      <c r="F325" s="3">
        <f t="shared" si="19"/>
        <v>45627</v>
      </c>
      <c r="G325" s="3" t="s">
        <v>37</v>
      </c>
      <c r="H325" s="2">
        <v>60</v>
      </c>
      <c r="I325" s="2">
        <v>64</v>
      </c>
      <c r="J325" s="2">
        <v>289</v>
      </c>
      <c r="K325" s="2">
        <v>273</v>
      </c>
    </row>
    <row r="326" spans="1:11" x14ac:dyDescent="0.25">
      <c r="A326" t="s">
        <v>33</v>
      </c>
      <c r="B326" t="s">
        <v>22</v>
      </c>
      <c r="C326" s="2" t="s">
        <v>6</v>
      </c>
      <c r="D326" s="2">
        <f t="shared" si="17"/>
        <v>2025</v>
      </c>
      <c r="E326" s="2" t="str">
        <f t="shared" si="18"/>
        <v>Jan</v>
      </c>
      <c r="F326" s="3">
        <f t="shared" si="19"/>
        <v>45658</v>
      </c>
      <c r="G326" s="3" t="s">
        <v>37</v>
      </c>
      <c r="H326" s="2">
        <v>62</v>
      </c>
      <c r="I326" s="2">
        <v>59</v>
      </c>
      <c r="J326" s="2">
        <v>298</v>
      </c>
      <c r="K326" s="2">
        <v>281</v>
      </c>
    </row>
    <row r="327" spans="1:11" x14ac:dyDescent="0.25">
      <c r="A327" t="s">
        <v>33</v>
      </c>
      <c r="B327" t="s">
        <v>22</v>
      </c>
      <c r="C327" s="2" t="s">
        <v>6</v>
      </c>
      <c r="D327" s="2">
        <f t="shared" si="17"/>
        <v>2025</v>
      </c>
      <c r="E327" s="2" t="str">
        <f t="shared" si="18"/>
        <v>Feb</v>
      </c>
      <c r="F327" s="3">
        <f t="shared" si="19"/>
        <v>45689</v>
      </c>
      <c r="G327" s="3" t="s">
        <v>37</v>
      </c>
      <c r="H327" s="2">
        <v>50</v>
      </c>
      <c r="I327" s="2">
        <v>47</v>
      </c>
      <c r="J327" s="2">
        <v>257</v>
      </c>
      <c r="K327" s="2">
        <v>276</v>
      </c>
    </row>
    <row r="328" spans="1:11" x14ac:dyDescent="0.25">
      <c r="A328" t="s">
        <v>33</v>
      </c>
      <c r="B328" t="s">
        <v>22</v>
      </c>
      <c r="C328" s="2" t="s">
        <v>6</v>
      </c>
      <c r="D328" s="2">
        <f t="shared" si="17"/>
        <v>2025</v>
      </c>
      <c r="E328" s="2" t="str">
        <f t="shared" si="18"/>
        <v>Mar</v>
      </c>
      <c r="F328" s="3">
        <f t="shared" si="19"/>
        <v>45717</v>
      </c>
      <c r="G328" s="3" t="s">
        <v>37</v>
      </c>
      <c r="H328" s="2">
        <v>59</v>
      </c>
      <c r="I328" s="2">
        <v>60</v>
      </c>
      <c r="J328" s="2">
        <v>259</v>
      </c>
      <c r="K328" s="2">
        <v>254</v>
      </c>
    </row>
    <row r="329" spans="1:11" x14ac:dyDescent="0.25">
      <c r="A329" t="s">
        <v>33</v>
      </c>
      <c r="B329" t="s">
        <v>22</v>
      </c>
      <c r="C329" s="2" t="s">
        <v>6</v>
      </c>
      <c r="D329" s="2">
        <f t="shared" si="17"/>
        <v>2025</v>
      </c>
      <c r="E329" s="2" t="str">
        <f t="shared" si="18"/>
        <v>Apr</v>
      </c>
      <c r="F329" s="3">
        <f t="shared" si="19"/>
        <v>45748</v>
      </c>
      <c r="G329" s="3" t="s">
        <v>37</v>
      </c>
      <c r="H329" s="2">
        <v>65</v>
      </c>
      <c r="I329" s="2">
        <v>71</v>
      </c>
      <c r="J329" s="2">
        <v>240</v>
      </c>
      <c r="K329" s="2">
        <v>240</v>
      </c>
    </row>
    <row r="330" spans="1:11" x14ac:dyDescent="0.25">
      <c r="A330" t="s">
        <v>33</v>
      </c>
      <c r="B330" t="s">
        <v>22</v>
      </c>
      <c r="C330" s="2" t="s">
        <v>6</v>
      </c>
      <c r="D330" s="2">
        <f t="shared" si="17"/>
        <v>2025</v>
      </c>
      <c r="E330" s="2" t="str">
        <f t="shared" si="18"/>
        <v>May</v>
      </c>
      <c r="F330" s="3">
        <f t="shared" si="19"/>
        <v>45778</v>
      </c>
      <c r="G330" s="3" t="s">
        <v>37</v>
      </c>
      <c r="H330" s="2">
        <v>84</v>
      </c>
      <c r="I330" s="2">
        <v>78</v>
      </c>
      <c r="J330" s="2">
        <v>258</v>
      </c>
      <c r="K330" s="2">
        <v>279</v>
      </c>
    </row>
    <row r="331" spans="1:11" x14ac:dyDescent="0.25">
      <c r="A331" t="s">
        <v>33</v>
      </c>
      <c r="B331" t="s">
        <v>22</v>
      </c>
      <c r="C331" s="2" t="s">
        <v>6</v>
      </c>
      <c r="D331" s="2">
        <f t="shared" si="17"/>
        <v>2025</v>
      </c>
      <c r="E331" s="2" t="str">
        <f t="shared" si="18"/>
        <v>Jun</v>
      </c>
      <c r="F331" s="3">
        <f t="shared" si="19"/>
        <v>45809</v>
      </c>
      <c r="G331" s="3" t="s">
        <v>37</v>
      </c>
      <c r="H331" s="2">
        <v>104</v>
      </c>
      <c r="I331" s="2">
        <v>105</v>
      </c>
      <c r="J331" s="2">
        <v>258</v>
      </c>
      <c r="K331" s="2">
        <v>277</v>
      </c>
    </row>
    <row r="332" spans="1:11" x14ac:dyDescent="0.25">
      <c r="A332" t="s">
        <v>33</v>
      </c>
      <c r="B332" t="s">
        <v>22</v>
      </c>
      <c r="C332" s="2" t="s">
        <v>6</v>
      </c>
      <c r="D332" s="2">
        <f t="shared" si="17"/>
        <v>2025</v>
      </c>
      <c r="E332" s="2" t="str">
        <f t="shared" si="18"/>
        <v>Jul</v>
      </c>
      <c r="F332" s="3">
        <f t="shared" si="19"/>
        <v>45839</v>
      </c>
      <c r="G332" s="3" t="s">
        <v>37</v>
      </c>
      <c r="H332" s="2">
        <v>65</v>
      </c>
      <c r="I332" s="2">
        <v>59</v>
      </c>
      <c r="J332" s="2">
        <v>226</v>
      </c>
      <c r="K332" s="2">
        <v>222</v>
      </c>
    </row>
    <row r="333" spans="1:11" x14ac:dyDescent="0.25">
      <c r="A333" t="s">
        <v>33</v>
      </c>
      <c r="B333" t="s">
        <v>22</v>
      </c>
      <c r="C333" s="2" t="s">
        <v>6</v>
      </c>
      <c r="D333" s="2">
        <f t="shared" si="17"/>
        <v>2025</v>
      </c>
      <c r="E333" s="2" t="str">
        <f t="shared" si="18"/>
        <v>Aug</v>
      </c>
      <c r="F333" s="3">
        <f t="shared" si="19"/>
        <v>45870</v>
      </c>
      <c r="G333" s="3" t="s">
        <v>37</v>
      </c>
      <c r="H333" s="2">
        <v>90</v>
      </c>
      <c r="I333" s="2">
        <v>93</v>
      </c>
      <c r="J333" s="2">
        <v>287</v>
      </c>
      <c r="K333" s="2">
        <v>271</v>
      </c>
    </row>
    <row r="334" spans="1:11" x14ac:dyDescent="0.25">
      <c r="A334" t="s">
        <v>33</v>
      </c>
      <c r="B334" t="s">
        <v>22</v>
      </c>
      <c r="C334" s="2" t="s">
        <v>6</v>
      </c>
      <c r="D334" s="2">
        <f t="shared" si="17"/>
        <v>2025</v>
      </c>
      <c r="E334" s="2" t="str">
        <f t="shared" si="18"/>
        <v>Sep</v>
      </c>
      <c r="F334" s="3">
        <f t="shared" si="19"/>
        <v>45901</v>
      </c>
      <c r="G334" s="3" t="s">
        <v>37</v>
      </c>
      <c r="H334" s="2">
        <v>96</v>
      </c>
      <c r="I334" s="2">
        <v>100</v>
      </c>
      <c r="J334" s="2">
        <v>186</v>
      </c>
      <c r="K334" s="2">
        <v>179</v>
      </c>
    </row>
    <row r="335" spans="1:11" x14ac:dyDescent="0.25">
      <c r="A335" t="s">
        <v>33</v>
      </c>
      <c r="B335" t="s">
        <v>22</v>
      </c>
      <c r="C335" s="2" t="s">
        <v>6</v>
      </c>
      <c r="D335" s="2">
        <f t="shared" si="17"/>
        <v>2025</v>
      </c>
      <c r="E335" s="2" t="str">
        <f t="shared" si="18"/>
        <v>Oct</v>
      </c>
      <c r="F335" s="3">
        <f t="shared" si="19"/>
        <v>45931</v>
      </c>
      <c r="G335" s="3" t="s">
        <v>37</v>
      </c>
      <c r="H335" s="2">
        <v>67</v>
      </c>
      <c r="I335" s="2">
        <v>63</v>
      </c>
      <c r="J335" s="2">
        <v>200</v>
      </c>
      <c r="K335" s="2">
        <v>206</v>
      </c>
    </row>
    <row r="336" spans="1:11" x14ac:dyDescent="0.25">
      <c r="A336" t="s">
        <v>33</v>
      </c>
      <c r="B336" t="s">
        <v>22</v>
      </c>
      <c r="C336" s="2" t="s">
        <v>6</v>
      </c>
      <c r="D336" s="2">
        <f t="shared" si="17"/>
        <v>2025</v>
      </c>
      <c r="E336" s="2" t="str">
        <f t="shared" si="18"/>
        <v>Nov</v>
      </c>
      <c r="F336" s="3">
        <f t="shared" si="19"/>
        <v>45962</v>
      </c>
      <c r="G336" s="3" t="s">
        <v>37</v>
      </c>
      <c r="H336" s="2">
        <v>72</v>
      </c>
      <c r="I336" s="2">
        <v>68</v>
      </c>
      <c r="J336" s="2">
        <v>240</v>
      </c>
      <c r="K336" s="2">
        <v>257</v>
      </c>
    </row>
    <row r="337" spans="1:11" x14ac:dyDescent="0.25">
      <c r="A337" t="s">
        <v>33</v>
      </c>
      <c r="B337" t="s">
        <v>22</v>
      </c>
      <c r="C337" s="2" t="s">
        <v>6</v>
      </c>
      <c r="D337" s="2">
        <f t="shared" si="17"/>
        <v>2025</v>
      </c>
      <c r="E337" s="2" t="str">
        <f t="shared" si="18"/>
        <v>Dec</v>
      </c>
      <c r="F337" s="3">
        <f t="shared" si="19"/>
        <v>45992</v>
      </c>
      <c r="G337" s="3" t="s">
        <v>37</v>
      </c>
      <c r="H337" s="2">
        <v>92</v>
      </c>
      <c r="I337" s="2">
        <v>94</v>
      </c>
      <c r="J337" s="2">
        <v>184</v>
      </c>
      <c r="K337" s="2">
        <v>177</v>
      </c>
    </row>
    <row r="338" spans="1:11" x14ac:dyDescent="0.25">
      <c r="A338" t="s">
        <v>33</v>
      </c>
      <c r="B338" t="s">
        <v>22</v>
      </c>
      <c r="C338" s="2" t="s">
        <v>6</v>
      </c>
      <c r="D338" s="2">
        <f t="shared" si="17"/>
        <v>2026</v>
      </c>
      <c r="E338" s="2" t="str">
        <f t="shared" si="18"/>
        <v>Jan</v>
      </c>
      <c r="F338" s="3">
        <f t="shared" si="19"/>
        <v>46023</v>
      </c>
      <c r="G338" s="3" t="s">
        <v>37</v>
      </c>
      <c r="H338" s="2">
        <v>96</v>
      </c>
      <c r="I338" s="2">
        <v>101</v>
      </c>
      <c r="J338" s="2">
        <v>272</v>
      </c>
      <c r="K338" s="2">
        <v>270</v>
      </c>
    </row>
    <row r="339" spans="1:11" x14ac:dyDescent="0.25">
      <c r="A339" t="s">
        <v>33</v>
      </c>
      <c r="B339" t="s">
        <v>22</v>
      </c>
      <c r="C339" s="2" t="s">
        <v>6</v>
      </c>
      <c r="D339" s="2">
        <f t="shared" si="17"/>
        <v>2026</v>
      </c>
      <c r="E339" s="2" t="str">
        <f t="shared" si="18"/>
        <v>Feb</v>
      </c>
      <c r="F339" s="3">
        <f t="shared" si="19"/>
        <v>46054</v>
      </c>
      <c r="G339" s="3" t="s">
        <v>37</v>
      </c>
      <c r="H339" s="2">
        <v>74</v>
      </c>
      <c r="I339" s="2">
        <v>78</v>
      </c>
      <c r="J339" s="2">
        <v>234</v>
      </c>
      <c r="K339" s="2">
        <v>232</v>
      </c>
    </row>
    <row r="340" spans="1:11" x14ac:dyDescent="0.25">
      <c r="A340" t="s">
        <v>33</v>
      </c>
      <c r="B340" t="s">
        <v>22</v>
      </c>
      <c r="C340" s="2" t="s">
        <v>6</v>
      </c>
      <c r="D340" s="2">
        <f t="shared" si="17"/>
        <v>2026</v>
      </c>
      <c r="E340" s="2" t="str">
        <f t="shared" si="18"/>
        <v>Mar</v>
      </c>
      <c r="F340" s="3">
        <f t="shared" si="19"/>
        <v>46082</v>
      </c>
      <c r="G340" s="3" t="s">
        <v>37</v>
      </c>
      <c r="H340" s="2">
        <v>56</v>
      </c>
      <c r="I340" s="2">
        <v>51</v>
      </c>
      <c r="J340" s="2">
        <v>253</v>
      </c>
      <c r="K340" s="2">
        <v>259</v>
      </c>
    </row>
    <row r="341" spans="1:11" x14ac:dyDescent="0.25">
      <c r="A341" t="s">
        <v>33</v>
      </c>
      <c r="B341" t="s">
        <v>22</v>
      </c>
      <c r="C341" s="2" t="s">
        <v>6</v>
      </c>
      <c r="D341" s="2">
        <f t="shared" si="17"/>
        <v>2026</v>
      </c>
      <c r="E341" s="2" t="str">
        <f t="shared" si="18"/>
        <v>Apr</v>
      </c>
      <c r="F341" s="3">
        <f t="shared" si="19"/>
        <v>46113</v>
      </c>
      <c r="G341" s="3" t="s">
        <v>37</v>
      </c>
      <c r="H341" s="2">
        <v>50</v>
      </c>
      <c r="I341" s="2">
        <v>45</v>
      </c>
      <c r="J341" s="2">
        <v>209</v>
      </c>
      <c r="K341" s="2">
        <v>221</v>
      </c>
    </row>
    <row r="342" spans="1:11" x14ac:dyDescent="0.25">
      <c r="A342" t="s">
        <v>33</v>
      </c>
      <c r="B342" t="s">
        <v>22</v>
      </c>
      <c r="C342" s="2" t="s">
        <v>6</v>
      </c>
      <c r="D342" s="2">
        <f t="shared" si="17"/>
        <v>2026</v>
      </c>
      <c r="E342" s="2" t="str">
        <f t="shared" si="18"/>
        <v>May</v>
      </c>
      <c r="F342" s="3">
        <f t="shared" si="19"/>
        <v>46143</v>
      </c>
      <c r="G342" s="3" t="s">
        <v>37</v>
      </c>
      <c r="H342" s="2">
        <v>52</v>
      </c>
      <c r="I342" s="2">
        <v>49</v>
      </c>
      <c r="J342" s="2">
        <v>181</v>
      </c>
      <c r="K342" s="2">
        <v>178</v>
      </c>
    </row>
    <row r="343" spans="1:11" x14ac:dyDescent="0.25">
      <c r="A343" t="s">
        <v>33</v>
      </c>
      <c r="B343" t="s">
        <v>22</v>
      </c>
      <c r="C343" s="2" t="s">
        <v>6</v>
      </c>
      <c r="D343" s="2">
        <f t="shared" si="17"/>
        <v>2026</v>
      </c>
      <c r="E343" s="2" t="str">
        <f t="shared" si="18"/>
        <v>Jun</v>
      </c>
      <c r="F343" s="3">
        <f t="shared" si="19"/>
        <v>46174</v>
      </c>
      <c r="G343" s="3" t="s">
        <v>37</v>
      </c>
      <c r="H343" s="2">
        <v>65</v>
      </c>
      <c r="I343" s="2">
        <v>68</v>
      </c>
      <c r="J343" s="2">
        <v>233</v>
      </c>
      <c r="K343" s="2">
        <v>230</v>
      </c>
    </row>
    <row r="344" spans="1:11" x14ac:dyDescent="0.25">
      <c r="A344" t="s">
        <v>33</v>
      </c>
      <c r="B344" t="s">
        <v>22</v>
      </c>
      <c r="C344" s="2" t="s">
        <v>6</v>
      </c>
      <c r="D344" s="2">
        <f t="shared" si="17"/>
        <v>2026</v>
      </c>
      <c r="E344" s="2" t="str">
        <f t="shared" si="18"/>
        <v>Jul</v>
      </c>
      <c r="F344" s="3">
        <f t="shared" si="19"/>
        <v>46204</v>
      </c>
      <c r="G344" s="3" t="s">
        <v>37</v>
      </c>
      <c r="H344" s="2">
        <v>59</v>
      </c>
      <c r="I344" s="2">
        <v>64</v>
      </c>
      <c r="J344" s="2">
        <v>253</v>
      </c>
      <c r="K344" s="2">
        <v>264</v>
      </c>
    </row>
    <row r="345" spans="1:11" x14ac:dyDescent="0.25">
      <c r="A345" t="s">
        <v>33</v>
      </c>
      <c r="B345" t="s">
        <v>22</v>
      </c>
      <c r="C345" s="2" t="s">
        <v>6</v>
      </c>
      <c r="D345" s="2">
        <f t="shared" si="17"/>
        <v>2026</v>
      </c>
      <c r="E345" s="2" t="str">
        <f t="shared" si="18"/>
        <v>Aug</v>
      </c>
      <c r="F345" s="3">
        <f t="shared" si="19"/>
        <v>46235</v>
      </c>
      <c r="G345" s="3" t="s">
        <v>37</v>
      </c>
      <c r="H345" s="2">
        <v>47</v>
      </c>
      <c r="I345" s="2">
        <v>42</v>
      </c>
      <c r="J345" s="2">
        <v>239</v>
      </c>
      <c r="K345" s="2">
        <v>257</v>
      </c>
    </row>
    <row r="346" spans="1:11" x14ac:dyDescent="0.25">
      <c r="A346" t="s">
        <v>33</v>
      </c>
      <c r="B346" t="s">
        <v>22</v>
      </c>
      <c r="C346" s="2" t="s">
        <v>6</v>
      </c>
      <c r="D346" s="2">
        <f t="shared" si="17"/>
        <v>2026</v>
      </c>
      <c r="E346" s="2" t="str">
        <f t="shared" si="18"/>
        <v>Sep</v>
      </c>
      <c r="F346" s="3">
        <f t="shared" si="19"/>
        <v>46266</v>
      </c>
      <c r="G346" s="3" t="s">
        <v>37</v>
      </c>
      <c r="H346" s="2">
        <v>50</v>
      </c>
      <c r="I346" s="2">
        <v>48</v>
      </c>
      <c r="J346" s="2">
        <v>195</v>
      </c>
      <c r="K346" s="2">
        <v>183</v>
      </c>
    </row>
    <row r="347" spans="1:11" x14ac:dyDescent="0.25">
      <c r="A347" t="s">
        <v>33</v>
      </c>
      <c r="B347" t="s">
        <v>22</v>
      </c>
      <c r="C347" s="2" t="s">
        <v>6</v>
      </c>
      <c r="D347" s="2">
        <f t="shared" si="17"/>
        <v>2026</v>
      </c>
      <c r="E347" s="2" t="str">
        <f t="shared" si="18"/>
        <v>Oct</v>
      </c>
      <c r="F347" s="3">
        <f t="shared" si="19"/>
        <v>46296</v>
      </c>
      <c r="G347" s="3" t="s">
        <v>37</v>
      </c>
      <c r="H347" s="2">
        <v>60</v>
      </c>
      <c r="I347" s="2">
        <v>65</v>
      </c>
      <c r="J347" s="2">
        <v>248</v>
      </c>
      <c r="K347" s="2">
        <v>259</v>
      </c>
    </row>
    <row r="348" spans="1:11" x14ac:dyDescent="0.25">
      <c r="A348" t="s">
        <v>33</v>
      </c>
      <c r="B348" t="s">
        <v>22</v>
      </c>
      <c r="C348" s="2" t="s">
        <v>6</v>
      </c>
      <c r="D348" s="2">
        <f t="shared" si="17"/>
        <v>2026</v>
      </c>
      <c r="E348" s="2" t="str">
        <f t="shared" si="18"/>
        <v>Nov</v>
      </c>
      <c r="F348" s="3">
        <f t="shared" si="19"/>
        <v>46327</v>
      </c>
      <c r="G348" s="3" t="s">
        <v>37</v>
      </c>
      <c r="H348" s="2">
        <v>62</v>
      </c>
      <c r="I348" s="2">
        <v>61</v>
      </c>
      <c r="J348" s="2">
        <v>273</v>
      </c>
      <c r="K348" s="2">
        <v>261</v>
      </c>
    </row>
    <row r="349" spans="1:11" x14ac:dyDescent="0.25">
      <c r="A349" t="s">
        <v>33</v>
      </c>
      <c r="B349" t="s">
        <v>22</v>
      </c>
      <c r="C349" s="2" t="s">
        <v>6</v>
      </c>
      <c r="D349" s="2">
        <f t="shared" si="17"/>
        <v>2026</v>
      </c>
      <c r="E349" s="2" t="str">
        <f t="shared" si="18"/>
        <v>Dec</v>
      </c>
      <c r="F349" s="3">
        <f t="shared" si="19"/>
        <v>46357</v>
      </c>
      <c r="G349" s="3" t="s">
        <v>37</v>
      </c>
      <c r="H349" s="2">
        <v>52</v>
      </c>
      <c r="I349" s="2">
        <v>57</v>
      </c>
      <c r="J349" s="2">
        <v>245</v>
      </c>
      <c r="K349" s="2">
        <v>230</v>
      </c>
    </row>
    <row r="350" spans="1:11" x14ac:dyDescent="0.25">
      <c r="A350" t="s">
        <v>33</v>
      </c>
      <c r="B350" t="s">
        <v>22</v>
      </c>
      <c r="C350" s="2" t="s">
        <v>6</v>
      </c>
      <c r="D350" s="2">
        <f t="shared" si="17"/>
        <v>2027</v>
      </c>
      <c r="E350" s="2" t="str">
        <f t="shared" si="18"/>
        <v>Jan</v>
      </c>
      <c r="F350" s="3">
        <f t="shared" si="19"/>
        <v>46388</v>
      </c>
      <c r="G350" s="3" t="s">
        <v>37</v>
      </c>
      <c r="H350" s="2">
        <v>96</v>
      </c>
      <c r="I350" s="2">
        <v>101</v>
      </c>
      <c r="J350" s="2">
        <v>272</v>
      </c>
      <c r="K350" s="2">
        <v>270</v>
      </c>
    </row>
    <row r="351" spans="1:11" x14ac:dyDescent="0.25">
      <c r="A351" t="s">
        <v>33</v>
      </c>
      <c r="B351" t="s">
        <v>22</v>
      </c>
      <c r="C351" s="2" t="s">
        <v>6</v>
      </c>
      <c r="D351" s="2">
        <f t="shared" si="17"/>
        <v>2027</v>
      </c>
      <c r="E351" s="2" t="str">
        <f t="shared" si="18"/>
        <v>Feb</v>
      </c>
      <c r="F351" s="3">
        <f t="shared" si="19"/>
        <v>46419</v>
      </c>
      <c r="G351" s="3" t="s">
        <v>37</v>
      </c>
      <c r="H351" s="2">
        <v>74</v>
      </c>
      <c r="I351" s="2">
        <v>78</v>
      </c>
      <c r="J351" s="2">
        <v>234</v>
      </c>
      <c r="K351" s="2">
        <v>232</v>
      </c>
    </row>
    <row r="352" spans="1:11" x14ac:dyDescent="0.25">
      <c r="A352" t="s">
        <v>33</v>
      </c>
      <c r="B352" t="s">
        <v>22</v>
      </c>
      <c r="C352" s="2" t="s">
        <v>6</v>
      </c>
      <c r="D352" s="2">
        <f t="shared" si="17"/>
        <v>2027</v>
      </c>
      <c r="E352" s="2" t="str">
        <f t="shared" si="18"/>
        <v>Mar</v>
      </c>
      <c r="F352" s="3">
        <f t="shared" si="19"/>
        <v>46447</v>
      </c>
      <c r="G352" s="3" t="s">
        <v>37</v>
      </c>
      <c r="H352" s="2">
        <v>56</v>
      </c>
      <c r="I352" s="2">
        <v>51</v>
      </c>
      <c r="J352" s="2">
        <v>253</v>
      </c>
      <c r="K352" s="2">
        <v>259</v>
      </c>
    </row>
    <row r="353" spans="1:11" x14ac:dyDescent="0.25">
      <c r="A353" t="s">
        <v>33</v>
      </c>
      <c r="B353" t="s">
        <v>22</v>
      </c>
      <c r="C353" s="2" t="s">
        <v>6</v>
      </c>
      <c r="D353" s="2">
        <f t="shared" si="17"/>
        <v>2027</v>
      </c>
      <c r="E353" s="2" t="str">
        <f t="shared" si="18"/>
        <v>Apr</v>
      </c>
      <c r="F353" s="3">
        <f t="shared" si="19"/>
        <v>46478</v>
      </c>
      <c r="G353" s="3" t="s">
        <v>37</v>
      </c>
      <c r="H353" s="2">
        <v>50</v>
      </c>
      <c r="I353" s="2">
        <v>45</v>
      </c>
      <c r="J353" s="2">
        <v>209</v>
      </c>
      <c r="K353" s="2">
        <v>221</v>
      </c>
    </row>
    <row r="354" spans="1:11" x14ac:dyDescent="0.25">
      <c r="A354" t="s">
        <v>33</v>
      </c>
      <c r="B354" t="s">
        <v>22</v>
      </c>
      <c r="C354" s="2" t="s">
        <v>6</v>
      </c>
      <c r="D354" s="2">
        <f t="shared" si="17"/>
        <v>2027</v>
      </c>
      <c r="E354" s="2" t="str">
        <f t="shared" si="18"/>
        <v>May</v>
      </c>
      <c r="F354" s="3">
        <f t="shared" si="19"/>
        <v>46508</v>
      </c>
      <c r="G354" s="3" t="s">
        <v>37</v>
      </c>
      <c r="H354" s="2">
        <v>52</v>
      </c>
      <c r="I354" s="2">
        <v>49</v>
      </c>
      <c r="J354" s="2">
        <v>181</v>
      </c>
      <c r="K354" s="2">
        <v>178</v>
      </c>
    </row>
    <row r="355" spans="1:11" x14ac:dyDescent="0.25">
      <c r="A355" t="s">
        <v>33</v>
      </c>
      <c r="B355" t="s">
        <v>22</v>
      </c>
      <c r="C355" s="2" t="s">
        <v>6</v>
      </c>
      <c r="D355" s="2">
        <f t="shared" si="17"/>
        <v>2027</v>
      </c>
      <c r="E355" s="2" t="str">
        <f t="shared" si="18"/>
        <v>Jun</v>
      </c>
      <c r="F355" s="3">
        <f t="shared" si="19"/>
        <v>46539</v>
      </c>
      <c r="G355" s="3" t="s">
        <v>37</v>
      </c>
      <c r="H355" s="2">
        <v>65</v>
      </c>
      <c r="I355" s="2">
        <v>68</v>
      </c>
      <c r="J355" s="2">
        <v>233</v>
      </c>
      <c r="K355" s="2">
        <v>230</v>
      </c>
    </row>
    <row r="356" spans="1:11" x14ac:dyDescent="0.25">
      <c r="A356" t="s">
        <v>33</v>
      </c>
      <c r="B356" t="s">
        <v>22</v>
      </c>
      <c r="C356" s="2" t="s">
        <v>6</v>
      </c>
      <c r="D356" s="2">
        <f t="shared" si="17"/>
        <v>2027</v>
      </c>
      <c r="E356" s="2" t="str">
        <f t="shared" si="18"/>
        <v>Jul</v>
      </c>
      <c r="F356" s="3">
        <f t="shared" si="19"/>
        <v>46569</v>
      </c>
      <c r="G356" s="3" t="s">
        <v>37</v>
      </c>
      <c r="H356" s="2">
        <v>59</v>
      </c>
      <c r="I356" s="2">
        <v>64</v>
      </c>
      <c r="J356" s="2">
        <v>253</v>
      </c>
      <c r="K356" s="2">
        <v>264</v>
      </c>
    </row>
    <row r="357" spans="1:11" x14ac:dyDescent="0.25">
      <c r="A357" t="s">
        <v>33</v>
      </c>
      <c r="B357" t="s">
        <v>22</v>
      </c>
      <c r="C357" s="2" t="s">
        <v>6</v>
      </c>
      <c r="D357" s="2">
        <f t="shared" si="17"/>
        <v>2027</v>
      </c>
      <c r="E357" s="2" t="str">
        <f t="shared" si="18"/>
        <v>Aug</v>
      </c>
      <c r="F357" s="3">
        <f t="shared" si="19"/>
        <v>46600</v>
      </c>
      <c r="G357" s="3" t="s">
        <v>37</v>
      </c>
      <c r="H357" s="2">
        <v>47</v>
      </c>
      <c r="I357" s="2">
        <v>42</v>
      </c>
      <c r="J357" s="2">
        <v>239</v>
      </c>
      <c r="K357" s="2">
        <v>257</v>
      </c>
    </row>
    <row r="358" spans="1:11" x14ac:dyDescent="0.25">
      <c r="A358" t="s">
        <v>33</v>
      </c>
      <c r="B358" t="s">
        <v>22</v>
      </c>
      <c r="C358" s="2" t="s">
        <v>6</v>
      </c>
      <c r="D358" s="2">
        <f t="shared" si="17"/>
        <v>2027</v>
      </c>
      <c r="E358" s="2" t="str">
        <f t="shared" si="18"/>
        <v>Sep</v>
      </c>
      <c r="F358" s="3">
        <f t="shared" si="19"/>
        <v>46631</v>
      </c>
      <c r="G358" s="3" t="s">
        <v>37</v>
      </c>
      <c r="H358" s="2">
        <v>50</v>
      </c>
      <c r="I358" s="2">
        <v>48</v>
      </c>
      <c r="J358" s="2">
        <v>195</v>
      </c>
      <c r="K358" s="2">
        <v>183</v>
      </c>
    </row>
    <row r="359" spans="1:11" x14ac:dyDescent="0.25">
      <c r="A359" t="s">
        <v>33</v>
      </c>
      <c r="B359" t="s">
        <v>22</v>
      </c>
      <c r="C359" s="2" t="s">
        <v>6</v>
      </c>
      <c r="D359" s="2">
        <f t="shared" si="17"/>
        <v>2027</v>
      </c>
      <c r="E359" s="2" t="str">
        <f t="shared" si="18"/>
        <v>Oct</v>
      </c>
      <c r="F359" s="3">
        <f t="shared" si="19"/>
        <v>46661</v>
      </c>
      <c r="G359" s="3" t="s">
        <v>37</v>
      </c>
      <c r="H359" s="2">
        <v>60</v>
      </c>
      <c r="I359" s="2">
        <v>65</v>
      </c>
      <c r="J359" s="2">
        <v>248</v>
      </c>
      <c r="K359" s="2">
        <v>259</v>
      </c>
    </row>
    <row r="360" spans="1:11" x14ac:dyDescent="0.25">
      <c r="A360" t="s">
        <v>33</v>
      </c>
      <c r="B360" t="s">
        <v>22</v>
      </c>
      <c r="C360" s="2" t="s">
        <v>6</v>
      </c>
      <c r="D360" s="2">
        <f t="shared" si="17"/>
        <v>2027</v>
      </c>
      <c r="E360" s="2" t="str">
        <f t="shared" si="18"/>
        <v>Nov</v>
      </c>
      <c r="F360" s="3">
        <f t="shared" si="19"/>
        <v>46692</v>
      </c>
      <c r="G360" s="3" t="s">
        <v>37</v>
      </c>
      <c r="H360" s="2">
        <v>62</v>
      </c>
      <c r="I360" s="2">
        <v>61</v>
      </c>
      <c r="J360" s="2">
        <v>273</v>
      </c>
      <c r="K360" s="2">
        <v>261</v>
      </c>
    </row>
    <row r="361" spans="1:11" x14ac:dyDescent="0.25">
      <c r="A361" t="s">
        <v>33</v>
      </c>
      <c r="B361" t="s">
        <v>22</v>
      </c>
      <c r="C361" s="2" t="s">
        <v>6</v>
      </c>
      <c r="D361" s="2">
        <f t="shared" si="17"/>
        <v>2027</v>
      </c>
      <c r="E361" s="2" t="str">
        <f t="shared" si="18"/>
        <v>Dec</v>
      </c>
      <c r="F361" s="3">
        <f t="shared" si="19"/>
        <v>46722</v>
      </c>
      <c r="G361" s="3" t="s">
        <v>37</v>
      </c>
      <c r="H361" s="2">
        <v>52</v>
      </c>
      <c r="I361" s="2">
        <v>57</v>
      </c>
      <c r="J361" s="2">
        <v>245</v>
      </c>
      <c r="K361" s="2">
        <v>230</v>
      </c>
    </row>
    <row r="362" spans="1:11" x14ac:dyDescent="0.25">
      <c r="A362" t="s">
        <v>29</v>
      </c>
      <c r="B362" t="s">
        <v>20</v>
      </c>
      <c r="C362" s="2" t="s">
        <v>5</v>
      </c>
      <c r="D362" s="2">
        <f>YEAR(F362)</f>
        <v>2023</v>
      </c>
      <c r="E362" s="2" t="str">
        <f>TEXT(F362,"mmm")</f>
        <v>Jan</v>
      </c>
      <c r="F362" s="3">
        <v>44927</v>
      </c>
      <c r="G362" s="3" t="s">
        <v>37</v>
      </c>
      <c r="H362" s="2">
        <v>60</v>
      </c>
      <c r="I362" s="2">
        <v>58</v>
      </c>
      <c r="J362" s="2">
        <v>183</v>
      </c>
      <c r="K362" s="2">
        <v>176</v>
      </c>
    </row>
    <row r="363" spans="1:11" x14ac:dyDescent="0.25">
      <c r="A363" t="s">
        <v>29</v>
      </c>
      <c r="B363" t="s">
        <v>20</v>
      </c>
      <c r="C363" s="2" t="s">
        <v>5</v>
      </c>
      <c r="D363" s="2">
        <f t="shared" ref="D363:D421" si="20">YEAR(F363)</f>
        <v>2023</v>
      </c>
      <c r="E363" s="2" t="str">
        <f t="shared" ref="E363:E426" si="21">TEXT(F363,"mmm")</f>
        <v>Feb</v>
      </c>
      <c r="F363" s="3">
        <f>EOMONTH(F362,0)+1</f>
        <v>44958</v>
      </c>
      <c r="G363" s="3" t="s">
        <v>37</v>
      </c>
      <c r="H363" s="2">
        <v>69</v>
      </c>
      <c r="I363" s="2">
        <v>66</v>
      </c>
      <c r="J363" s="2">
        <v>281</v>
      </c>
      <c r="K363" s="2">
        <v>277</v>
      </c>
    </row>
    <row r="364" spans="1:11" x14ac:dyDescent="0.25">
      <c r="A364" t="s">
        <v>29</v>
      </c>
      <c r="B364" t="s">
        <v>20</v>
      </c>
      <c r="C364" s="2" t="s">
        <v>5</v>
      </c>
      <c r="D364" s="2">
        <f t="shared" si="20"/>
        <v>2023</v>
      </c>
      <c r="E364" s="2" t="str">
        <f t="shared" si="21"/>
        <v>Mar</v>
      </c>
      <c r="F364" s="3">
        <f t="shared" ref="F364:F421" si="22">EOMONTH(F363,0)+1</f>
        <v>44986</v>
      </c>
      <c r="G364" s="3" t="s">
        <v>37</v>
      </c>
      <c r="H364" s="2">
        <v>42</v>
      </c>
      <c r="I364" s="2">
        <v>43</v>
      </c>
      <c r="J364" s="2">
        <v>280</v>
      </c>
      <c r="K364" s="2">
        <v>294</v>
      </c>
    </row>
    <row r="365" spans="1:11" x14ac:dyDescent="0.25">
      <c r="A365" t="s">
        <v>29</v>
      </c>
      <c r="B365" t="s">
        <v>20</v>
      </c>
      <c r="C365" s="2" t="s">
        <v>5</v>
      </c>
      <c r="D365" s="2">
        <f t="shared" si="20"/>
        <v>2023</v>
      </c>
      <c r="E365" s="2" t="str">
        <f t="shared" si="21"/>
        <v>Apr</v>
      </c>
      <c r="F365" s="3">
        <f t="shared" si="22"/>
        <v>45017</v>
      </c>
      <c r="G365" s="3" t="s">
        <v>37</v>
      </c>
      <c r="H365" s="2">
        <v>59</v>
      </c>
      <c r="I365" s="2">
        <v>61</v>
      </c>
      <c r="J365" s="2">
        <v>232</v>
      </c>
      <c r="K365" s="2">
        <v>230</v>
      </c>
    </row>
    <row r="366" spans="1:11" x14ac:dyDescent="0.25">
      <c r="A366" t="s">
        <v>29</v>
      </c>
      <c r="B366" t="s">
        <v>20</v>
      </c>
      <c r="C366" s="2" t="s">
        <v>5</v>
      </c>
      <c r="D366" s="2">
        <f t="shared" si="20"/>
        <v>2023</v>
      </c>
      <c r="E366" s="2" t="str">
        <f t="shared" si="21"/>
        <v>May</v>
      </c>
      <c r="F366" s="3">
        <f t="shared" si="22"/>
        <v>45047</v>
      </c>
      <c r="G366" s="3" t="s">
        <v>37</v>
      </c>
      <c r="H366" s="2">
        <v>84</v>
      </c>
      <c r="I366" s="2">
        <v>84</v>
      </c>
      <c r="J366" s="2">
        <v>203</v>
      </c>
      <c r="K366" s="2">
        <v>198</v>
      </c>
    </row>
    <row r="367" spans="1:11" x14ac:dyDescent="0.25">
      <c r="A367" t="s">
        <v>29</v>
      </c>
      <c r="B367" t="s">
        <v>20</v>
      </c>
      <c r="C367" s="2" t="s">
        <v>5</v>
      </c>
      <c r="D367" s="2">
        <f t="shared" si="20"/>
        <v>2023</v>
      </c>
      <c r="E367" s="2" t="str">
        <f t="shared" si="21"/>
        <v>Jun</v>
      </c>
      <c r="F367" s="3">
        <f t="shared" si="22"/>
        <v>45078</v>
      </c>
      <c r="G367" s="3" t="s">
        <v>37</v>
      </c>
      <c r="H367" s="2">
        <v>93</v>
      </c>
      <c r="I367" s="2">
        <v>101</v>
      </c>
      <c r="J367" s="2">
        <v>276</v>
      </c>
      <c r="K367" s="2">
        <v>287</v>
      </c>
    </row>
    <row r="368" spans="1:11" x14ac:dyDescent="0.25">
      <c r="A368" t="s">
        <v>29</v>
      </c>
      <c r="B368" t="s">
        <v>20</v>
      </c>
      <c r="C368" s="2" t="s">
        <v>5</v>
      </c>
      <c r="D368" s="2">
        <f t="shared" si="20"/>
        <v>2023</v>
      </c>
      <c r="E368" s="2" t="str">
        <f t="shared" si="21"/>
        <v>Jul</v>
      </c>
      <c r="F368" s="3">
        <f t="shared" si="22"/>
        <v>45108</v>
      </c>
      <c r="G368" s="3" t="s">
        <v>37</v>
      </c>
      <c r="H368" s="2">
        <v>93</v>
      </c>
      <c r="I368" s="2">
        <v>94</v>
      </c>
      <c r="J368" s="2">
        <v>214</v>
      </c>
      <c r="K368" s="2">
        <v>229</v>
      </c>
    </row>
    <row r="369" spans="1:11" x14ac:dyDescent="0.25">
      <c r="A369" t="s">
        <v>29</v>
      </c>
      <c r="B369" t="s">
        <v>20</v>
      </c>
      <c r="C369" s="2" t="s">
        <v>5</v>
      </c>
      <c r="D369" s="2">
        <f t="shared" si="20"/>
        <v>2023</v>
      </c>
      <c r="E369" s="2" t="str">
        <f t="shared" si="21"/>
        <v>Aug</v>
      </c>
      <c r="F369" s="3">
        <f t="shared" si="22"/>
        <v>45139</v>
      </c>
      <c r="G369" s="3" t="s">
        <v>37</v>
      </c>
      <c r="H369" s="2">
        <v>94</v>
      </c>
      <c r="I369" s="2">
        <v>96</v>
      </c>
      <c r="J369" s="2">
        <v>298</v>
      </c>
      <c r="K369" s="2">
        <v>302</v>
      </c>
    </row>
    <row r="370" spans="1:11" x14ac:dyDescent="0.25">
      <c r="A370" t="s">
        <v>29</v>
      </c>
      <c r="B370" t="s">
        <v>20</v>
      </c>
      <c r="C370" s="2" t="s">
        <v>5</v>
      </c>
      <c r="D370" s="2">
        <f t="shared" si="20"/>
        <v>2023</v>
      </c>
      <c r="E370" s="2" t="str">
        <f t="shared" si="21"/>
        <v>Sep</v>
      </c>
      <c r="F370" s="3">
        <f t="shared" si="22"/>
        <v>45170</v>
      </c>
      <c r="G370" s="3" t="s">
        <v>37</v>
      </c>
      <c r="H370" s="2">
        <v>95</v>
      </c>
      <c r="I370" s="2">
        <v>95</v>
      </c>
      <c r="J370" s="2">
        <v>292</v>
      </c>
      <c r="K370" s="2">
        <v>273</v>
      </c>
    </row>
    <row r="371" spans="1:11" x14ac:dyDescent="0.25">
      <c r="A371" t="s">
        <v>29</v>
      </c>
      <c r="B371" t="s">
        <v>20</v>
      </c>
      <c r="C371" s="2" t="s">
        <v>5</v>
      </c>
      <c r="D371" s="2">
        <f t="shared" si="20"/>
        <v>2023</v>
      </c>
      <c r="E371" s="2" t="str">
        <f t="shared" si="21"/>
        <v>Oct</v>
      </c>
      <c r="F371" s="3">
        <f t="shared" si="22"/>
        <v>45200</v>
      </c>
      <c r="G371" s="3" t="s">
        <v>37</v>
      </c>
      <c r="H371" s="2">
        <v>102</v>
      </c>
      <c r="I371" s="2">
        <v>94</v>
      </c>
      <c r="J371" s="2">
        <v>239</v>
      </c>
      <c r="K371" s="2">
        <v>228</v>
      </c>
    </row>
    <row r="372" spans="1:11" x14ac:dyDescent="0.25">
      <c r="A372" t="s">
        <v>29</v>
      </c>
      <c r="B372" t="s">
        <v>20</v>
      </c>
      <c r="C372" s="2" t="s">
        <v>5</v>
      </c>
      <c r="D372" s="2">
        <f t="shared" si="20"/>
        <v>2023</v>
      </c>
      <c r="E372" s="2" t="str">
        <f t="shared" si="21"/>
        <v>Nov</v>
      </c>
      <c r="F372" s="3">
        <f t="shared" si="22"/>
        <v>45231</v>
      </c>
      <c r="G372" s="3" t="s">
        <v>37</v>
      </c>
      <c r="H372" s="2">
        <v>61</v>
      </c>
      <c r="I372" s="2">
        <v>60</v>
      </c>
      <c r="J372" s="2">
        <v>238</v>
      </c>
      <c r="K372" s="2">
        <v>231</v>
      </c>
    </row>
    <row r="373" spans="1:11" x14ac:dyDescent="0.25">
      <c r="A373" t="s">
        <v>29</v>
      </c>
      <c r="B373" t="s">
        <v>20</v>
      </c>
      <c r="C373" s="2" t="s">
        <v>5</v>
      </c>
      <c r="D373" s="2">
        <f t="shared" si="20"/>
        <v>2023</v>
      </c>
      <c r="E373" s="2" t="str">
        <f t="shared" si="21"/>
        <v>Dec</v>
      </c>
      <c r="F373" s="3">
        <f t="shared" si="22"/>
        <v>45261</v>
      </c>
      <c r="G373" s="3" t="s">
        <v>37</v>
      </c>
      <c r="H373" s="2">
        <v>105</v>
      </c>
      <c r="I373" s="2">
        <v>95</v>
      </c>
      <c r="J373" s="2">
        <v>277</v>
      </c>
      <c r="K373" s="2">
        <v>274</v>
      </c>
    </row>
    <row r="374" spans="1:11" x14ac:dyDescent="0.25">
      <c r="A374" t="s">
        <v>29</v>
      </c>
      <c r="B374" t="s">
        <v>20</v>
      </c>
      <c r="C374" s="2" t="s">
        <v>5</v>
      </c>
      <c r="D374" s="2">
        <f t="shared" si="20"/>
        <v>2024</v>
      </c>
      <c r="E374" s="2" t="str">
        <f t="shared" si="21"/>
        <v>Jan</v>
      </c>
      <c r="F374" s="3">
        <f t="shared" si="22"/>
        <v>45292</v>
      </c>
      <c r="G374" s="3" t="s">
        <v>37</v>
      </c>
      <c r="H374" s="2">
        <v>68</v>
      </c>
      <c r="I374" s="2">
        <v>67</v>
      </c>
      <c r="J374" s="2">
        <v>197</v>
      </c>
      <c r="K374" s="2">
        <v>199</v>
      </c>
    </row>
    <row r="375" spans="1:11" x14ac:dyDescent="0.25">
      <c r="A375" t="s">
        <v>29</v>
      </c>
      <c r="B375" t="s">
        <v>20</v>
      </c>
      <c r="C375" s="2" t="s">
        <v>5</v>
      </c>
      <c r="D375" s="2">
        <f t="shared" si="20"/>
        <v>2024</v>
      </c>
      <c r="E375" s="2" t="str">
        <f t="shared" si="21"/>
        <v>Feb</v>
      </c>
      <c r="F375" s="3">
        <f t="shared" si="22"/>
        <v>45323</v>
      </c>
      <c r="G375" s="3" t="s">
        <v>37</v>
      </c>
      <c r="H375" s="2">
        <v>65</v>
      </c>
      <c r="I375" s="2">
        <v>66</v>
      </c>
      <c r="J375" s="2">
        <v>262</v>
      </c>
      <c r="K375" s="2">
        <v>267</v>
      </c>
    </row>
    <row r="376" spans="1:11" x14ac:dyDescent="0.25">
      <c r="A376" t="s">
        <v>29</v>
      </c>
      <c r="B376" t="s">
        <v>20</v>
      </c>
      <c r="C376" s="2" t="s">
        <v>5</v>
      </c>
      <c r="D376" s="2">
        <f t="shared" si="20"/>
        <v>2024</v>
      </c>
      <c r="E376" s="2" t="str">
        <f t="shared" si="21"/>
        <v>Mar</v>
      </c>
      <c r="F376" s="3">
        <f t="shared" si="22"/>
        <v>45352</v>
      </c>
      <c r="G376" s="3" t="s">
        <v>37</v>
      </c>
      <c r="H376" s="2">
        <v>53</v>
      </c>
      <c r="I376" s="2">
        <v>54</v>
      </c>
      <c r="J376" s="2">
        <v>293</v>
      </c>
      <c r="K376" s="2">
        <v>288</v>
      </c>
    </row>
    <row r="377" spans="1:11" x14ac:dyDescent="0.25">
      <c r="A377" t="s">
        <v>29</v>
      </c>
      <c r="B377" t="s">
        <v>20</v>
      </c>
      <c r="C377" s="2" t="s">
        <v>5</v>
      </c>
      <c r="D377" s="2">
        <f t="shared" si="20"/>
        <v>2024</v>
      </c>
      <c r="E377" s="2" t="str">
        <f t="shared" si="21"/>
        <v>Apr</v>
      </c>
      <c r="F377" s="3">
        <f t="shared" si="22"/>
        <v>45383</v>
      </c>
      <c r="G377" s="3" t="s">
        <v>37</v>
      </c>
      <c r="H377" s="2">
        <v>50</v>
      </c>
      <c r="I377" s="2">
        <v>50</v>
      </c>
      <c r="J377" s="2">
        <v>280</v>
      </c>
      <c r="K377" s="2">
        <v>300</v>
      </c>
    </row>
    <row r="378" spans="1:11" x14ac:dyDescent="0.25">
      <c r="A378" t="s">
        <v>29</v>
      </c>
      <c r="B378" t="s">
        <v>20</v>
      </c>
      <c r="C378" s="2" t="s">
        <v>5</v>
      </c>
      <c r="D378" s="2">
        <f t="shared" si="20"/>
        <v>2024</v>
      </c>
      <c r="E378" s="2" t="str">
        <f t="shared" si="21"/>
        <v>May</v>
      </c>
      <c r="F378" s="3">
        <f t="shared" si="22"/>
        <v>45413</v>
      </c>
      <c r="G378" s="3" t="s">
        <v>37</v>
      </c>
      <c r="H378" s="2">
        <v>52</v>
      </c>
      <c r="I378" s="2">
        <v>48</v>
      </c>
      <c r="J378" s="2">
        <v>288</v>
      </c>
      <c r="K378" s="2">
        <v>271</v>
      </c>
    </row>
    <row r="379" spans="1:11" x14ac:dyDescent="0.25">
      <c r="A379" t="s">
        <v>29</v>
      </c>
      <c r="B379" t="s">
        <v>20</v>
      </c>
      <c r="C379" s="2" t="s">
        <v>5</v>
      </c>
      <c r="D379" s="2">
        <f t="shared" si="20"/>
        <v>2024</v>
      </c>
      <c r="E379" s="2" t="str">
        <f t="shared" si="21"/>
        <v>Jun</v>
      </c>
      <c r="F379" s="3">
        <f t="shared" si="22"/>
        <v>45444</v>
      </c>
      <c r="G379" s="3" t="s">
        <v>37</v>
      </c>
      <c r="H379" s="2">
        <v>51</v>
      </c>
      <c r="I379" s="2">
        <v>52</v>
      </c>
      <c r="J379" s="2">
        <v>290</v>
      </c>
      <c r="K379" s="2">
        <v>287</v>
      </c>
    </row>
    <row r="380" spans="1:11" x14ac:dyDescent="0.25">
      <c r="A380" t="s">
        <v>29</v>
      </c>
      <c r="B380" t="s">
        <v>20</v>
      </c>
      <c r="C380" s="2" t="s">
        <v>5</v>
      </c>
      <c r="D380" s="2">
        <f t="shared" si="20"/>
        <v>2024</v>
      </c>
      <c r="E380" s="2" t="str">
        <f t="shared" si="21"/>
        <v>Jul</v>
      </c>
      <c r="F380" s="3">
        <f t="shared" si="22"/>
        <v>45474</v>
      </c>
      <c r="G380" s="3" t="s">
        <v>37</v>
      </c>
      <c r="H380" s="2">
        <v>61</v>
      </c>
      <c r="I380" s="2">
        <v>60</v>
      </c>
      <c r="J380" s="2">
        <v>258</v>
      </c>
      <c r="K380" s="2">
        <v>245</v>
      </c>
    </row>
    <row r="381" spans="1:11" x14ac:dyDescent="0.25">
      <c r="A381" t="s">
        <v>29</v>
      </c>
      <c r="B381" t="s">
        <v>20</v>
      </c>
      <c r="C381" s="2" t="s">
        <v>5</v>
      </c>
      <c r="D381" s="2">
        <f t="shared" si="20"/>
        <v>2024</v>
      </c>
      <c r="E381" s="2" t="str">
        <f t="shared" si="21"/>
        <v>Aug</v>
      </c>
      <c r="F381" s="3">
        <f t="shared" si="22"/>
        <v>45505</v>
      </c>
      <c r="G381" s="3" t="s">
        <v>37</v>
      </c>
      <c r="H381" s="2">
        <v>48</v>
      </c>
      <c r="I381" s="2">
        <v>52</v>
      </c>
      <c r="J381" s="2">
        <v>192</v>
      </c>
      <c r="K381" s="2">
        <v>194</v>
      </c>
    </row>
    <row r="382" spans="1:11" x14ac:dyDescent="0.25">
      <c r="A382" t="s">
        <v>29</v>
      </c>
      <c r="B382" t="s">
        <v>20</v>
      </c>
      <c r="C382" s="2" t="s">
        <v>5</v>
      </c>
      <c r="D382" s="2">
        <f t="shared" si="20"/>
        <v>2024</v>
      </c>
      <c r="E382" s="2" t="str">
        <f t="shared" si="21"/>
        <v>Sep</v>
      </c>
      <c r="F382" s="3">
        <f t="shared" si="22"/>
        <v>45536</v>
      </c>
      <c r="G382" s="3" t="s">
        <v>37</v>
      </c>
      <c r="H382" s="2">
        <v>56</v>
      </c>
      <c r="I382" s="2">
        <v>54</v>
      </c>
      <c r="J382" s="2">
        <v>295</v>
      </c>
      <c r="K382" s="2">
        <v>310</v>
      </c>
    </row>
    <row r="383" spans="1:11" x14ac:dyDescent="0.25">
      <c r="A383" t="s">
        <v>29</v>
      </c>
      <c r="B383" t="s">
        <v>20</v>
      </c>
      <c r="C383" s="2" t="s">
        <v>5</v>
      </c>
      <c r="D383" s="2">
        <f t="shared" si="20"/>
        <v>2024</v>
      </c>
      <c r="E383" s="2" t="str">
        <f t="shared" si="21"/>
        <v>Oct</v>
      </c>
      <c r="F383" s="3">
        <f t="shared" si="22"/>
        <v>45566</v>
      </c>
      <c r="G383" s="3" t="s">
        <v>37</v>
      </c>
      <c r="H383" s="2">
        <v>49</v>
      </c>
      <c r="I383" s="2">
        <v>47</v>
      </c>
      <c r="J383" s="2">
        <v>293</v>
      </c>
      <c r="K383" s="2">
        <v>282</v>
      </c>
    </row>
    <row r="384" spans="1:11" x14ac:dyDescent="0.25">
      <c r="A384" t="s">
        <v>29</v>
      </c>
      <c r="B384" t="s">
        <v>20</v>
      </c>
      <c r="C384" s="2" t="s">
        <v>5</v>
      </c>
      <c r="D384" s="2">
        <f t="shared" si="20"/>
        <v>2024</v>
      </c>
      <c r="E384" s="2" t="str">
        <f t="shared" si="21"/>
        <v>Nov</v>
      </c>
      <c r="F384" s="3">
        <f t="shared" si="22"/>
        <v>45597</v>
      </c>
      <c r="G384" s="3" t="s">
        <v>37</v>
      </c>
      <c r="H384" s="2">
        <v>42</v>
      </c>
      <c r="I384" s="2">
        <v>42</v>
      </c>
      <c r="J384" s="2">
        <v>202</v>
      </c>
      <c r="K384" s="2">
        <v>196</v>
      </c>
    </row>
    <row r="385" spans="1:11" x14ac:dyDescent="0.25">
      <c r="A385" t="s">
        <v>29</v>
      </c>
      <c r="B385" t="s">
        <v>20</v>
      </c>
      <c r="C385" s="2" t="s">
        <v>5</v>
      </c>
      <c r="D385" s="2">
        <f t="shared" si="20"/>
        <v>2024</v>
      </c>
      <c r="E385" s="2" t="str">
        <f t="shared" si="21"/>
        <v>Dec</v>
      </c>
      <c r="F385" s="3">
        <f t="shared" si="22"/>
        <v>45627</v>
      </c>
      <c r="G385" s="3" t="s">
        <v>37</v>
      </c>
      <c r="H385" s="2">
        <v>60</v>
      </c>
      <c r="I385" s="2">
        <v>64</v>
      </c>
      <c r="J385" s="2">
        <v>289</v>
      </c>
      <c r="K385" s="2">
        <v>273</v>
      </c>
    </row>
    <row r="386" spans="1:11" x14ac:dyDescent="0.25">
      <c r="A386" t="s">
        <v>29</v>
      </c>
      <c r="B386" t="s">
        <v>20</v>
      </c>
      <c r="C386" s="2" t="s">
        <v>6</v>
      </c>
      <c r="D386" s="2">
        <f t="shared" si="20"/>
        <v>2025</v>
      </c>
      <c r="E386" s="2" t="str">
        <f t="shared" si="21"/>
        <v>Jan</v>
      </c>
      <c r="F386" s="3">
        <f t="shared" si="22"/>
        <v>45658</v>
      </c>
      <c r="G386" s="3" t="s">
        <v>37</v>
      </c>
      <c r="H386" s="2">
        <v>62</v>
      </c>
      <c r="I386" s="2">
        <v>59</v>
      </c>
      <c r="J386" s="2">
        <v>298</v>
      </c>
      <c r="K386" s="2">
        <v>281</v>
      </c>
    </row>
    <row r="387" spans="1:11" x14ac:dyDescent="0.25">
      <c r="A387" t="s">
        <v>29</v>
      </c>
      <c r="B387" t="s">
        <v>20</v>
      </c>
      <c r="C387" s="2" t="s">
        <v>6</v>
      </c>
      <c r="D387" s="2">
        <f t="shared" si="20"/>
        <v>2025</v>
      </c>
      <c r="E387" s="2" t="str">
        <f t="shared" si="21"/>
        <v>Feb</v>
      </c>
      <c r="F387" s="3">
        <f t="shared" si="22"/>
        <v>45689</v>
      </c>
      <c r="G387" s="3" t="s">
        <v>37</v>
      </c>
      <c r="H387" s="2">
        <v>50</v>
      </c>
      <c r="I387" s="2">
        <v>47</v>
      </c>
      <c r="J387" s="2">
        <v>257</v>
      </c>
      <c r="K387" s="2">
        <v>276</v>
      </c>
    </row>
    <row r="388" spans="1:11" x14ac:dyDescent="0.25">
      <c r="A388" t="s">
        <v>29</v>
      </c>
      <c r="B388" t="s">
        <v>20</v>
      </c>
      <c r="C388" s="2" t="s">
        <v>6</v>
      </c>
      <c r="D388" s="2">
        <f t="shared" si="20"/>
        <v>2025</v>
      </c>
      <c r="E388" s="2" t="str">
        <f t="shared" si="21"/>
        <v>Mar</v>
      </c>
      <c r="F388" s="3">
        <f t="shared" si="22"/>
        <v>45717</v>
      </c>
      <c r="G388" s="3" t="s">
        <v>37</v>
      </c>
      <c r="H388" s="2">
        <v>59</v>
      </c>
      <c r="I388" s="2">
        <v>60</v>
      </c>
      <c r="J388" s="2">
        <v>259</v>
      </c>
      <c r="K388" s="2">
        <v>254</v>
      </c>
    </row>
    <row r="389" spans="1:11" x14ac:dyDescent="0.25">
      <c r="A389" t="s">
        <v>29</v>
      </c>
      <c r="B389" t="s">
        <v>20</v>
      </c>
      <c r="C389" s="2" t="s">
        <v>6</v>
      </c>
      <c r="D389" s="2">
        <f t="shared" si="20"/>
        <v>2025</v>
      </c>
      <c r="E389" s="2" t="str">
        <f t="shared" si="21"/>
        <v>Apr</v>
      </c>
      <c r="F389" s="3">
        <f t="shared" si="22"/>
        <v>45748</v>
      </c>
      <c r="G389" s="3" t="s">
        <v>37</v>
      </c>
      <c r="H389" s="2">
        <v>65</v>
      </c>
      <c r="I389" s="2">
        <v>71</v>
      </c>
      <c r="J389" s="2">
        <v>240</v>
      </c>
      <c r="K389" s="2">
        <v>240</v>
      </c>
    </row>
    <row r="390" spans="1:11" x14ac:dyDescent="0.25">
      <c r="A390" t="s">
        <v>29</v>
      </c>
      <c r="B390" t="s">
        <v>20</v>
      </c>
      <c r="C390" s="2" t="s">
        <v>6</v>
      </c>
      <c r="D390" s="2">
        <f t="shared" si="20"/>
        <v>2025</v>
      </c>
      <c r="E390" s="2" t="str">
        <f t="shared" si="21"/>
        <v>May</v>
      </c>
      <c r="F390" s="3">
        <f t="shared" si="22"/>
        <v>45778</v>
      </c>
      <c r="G390" s="3" t="s">
        <v>37</v>
      </c>
      <c r="H390" s="2">
        <v>84</v>
      </c>
      <c r="I390" s="2">
        <v>78</v>
      </c>
      <c r="J390" s="2">
        <v>258</v>
      </c>
      <c r="K390" s="2">
        <v>279</v>
      </c>
    </row>
    <row r="391" spans="1:11" x14ac:dyDescent="0.25">
      <c r="A391" t="s">
        <v>29</v>
      </c>
      <c r="B391" t="s">
        <v>20</v>
      </c>
      <c r="C391" s="2" t="s">
        <v>6</v>
      </c>
      <c r="D391" s="2">
        <f t="shared" si="20"/>
        <v>2025</v>
      </c>
      <c r="E391" s="2" t="str">
        <f t="shared" si="21"/>
        <v>Jun</v>
      </c>
      <c r="F391" s="3">
        <f t="shared" si="22"/>
        <v>45809</v>
      </c>
      <c r="G391" s="3" t="s">
        <v>37</v>
      </c>
      <c r="H391" s="2">
        <v>104</v>
      </c>
      <c r="I391" s="2">
        <v>105</v>
      </c>
      <c r="J391" s="2">
        <v>258</v>
      </c>
      <c r="K391" s="2">
        <v>277</v>
      </c>
    </row>
    <row r="392" spans="1:11" x14ac:dyDescent="0.25">
      <c r="A392" t="s">
        <v>29</v>
      </c>
      <c r="B392" t="s">
        <v>20</v>
      </c>
      <c r="C392" s="2" t="s">
        <v>6</v>
      </c>
      <c r="D392" s="2">
        <f t="shared" si="20"/>
        <v>2025</v>
      </c>
      <c r="E392" s="2" t="str">
        <f t="shared" si="21"/>
        <v>Jul</v>
      </c>
      <c r="F392" s="3">
        <f t="shared" si="22"/>
        <v>45839</v>
      </c>
      <c r="G392" s="3" t="s">
        <v>37</v>
      </c>
      <c r="H392" s="2">
        <v>65</v>
      </c>
      <c r="I392" s="2">
        <v>59</v>
      </c>
      <c r="J392" s="2">
        <v>226</v>
      </c>
      <c r="K392" s="2">
        <v>222</v>
      </c>
    </row>
    <row r="393" spans="1:11" x14ac:dyDescent="0.25">
      <c r="A393" t="s">
        <v>29</v>
      </c>
      <c r="B393" t="s">
        <v>20</v>
      </c>
      <c r="C393" s="2" t="s">
        <v>6</v>
      </c>
      <c r="D393" s="2">
        <f t="shared" si="20"/>
        <v>2025</v>
      </c>
      <c r="E393" s="2" t="str">
        <f t="shared" si="21"/>
        <v>Aug</v>
      </c>
      <c r="F393" s="3">
        <f t="shared" si="22"/>
        <v>45870</v>
      </c>
      <c r="G393" s="3" t="s">
        <v>37</v>
      </c>
      <c r="H393" s="2">
        <v>90</v>
      </c>
      <c r="I393" s="2">
        <v>93</v>
      </c>
      <c r="J393" s="2">
        <v>287</v>
      </c>
      <c r="K393" s="2">
        <v>271</v>
      </c>
    </row>
    <row r="394" spans="1:11" x14ac:dyDescent="0.25">
      <c r="A394" t="s">
        <v>29</v>
      </c>
      <c r="B394" t="s">
        <v>20</v>
      </c>
      <c r="C394" s="2" t="s">
        <v>6</v>
      </c>
      <c r="D394" s="2">
        <f t="shared" si="20"/>
        <v>2025</v>
      </c>
      <c r="E394" s="2" t="str">
        <f t="shared" si="21"/>
        <v>Sep</v>
      </c>
      <c r="F394" s="3">
        <f t="shared" si="22"/>
        <v>45901</v>
      </c>
      <c r="G394" s="3" t="s">
        <v>37</v>
      </c>
      <c r="H394" s="2">
        <v>96</v>
      </c>
      <c r="I394" s="2">
        <v>100</v>
      </c>
      <c r="J394" s="2">
        <v>186</v>
      </c>
      <c r="K394" s="2">
        <v>179</v>
      </c>
    </row>
    <row r="395" spans="1:11" x14ac:dyDescent="0.25">
      <c r="A395" t="s">
        <v>29</v>
      </c>
      <c r="B395" t="s">
        <v>20</v>
      </c>
      <c r="C395" s="2" t="s">
        <v>6</v>
      </c>
      <c r="D395" s="2">
        <f t="shared" si="20"/>
        <v>2025</v>
      </c>
      <c r="E395" s="2" t="str">
        <f t="shared" si="21"/>
        <v>Oct</v>
      </c>
      <c r="F395" s="3">
        <f t="shared" si="22"/>
        <v>45931</v>
      </c>
      <c r="G395" s="3" t="s">
        <v>37</v>
      </c>
      <c r="H395" s="2">
        <v>67</v>
      </c>
      <c r="I395" s="2">
        <v>63</v>
      </c>
      <c r="J395" s="2">
        <v>200</v>
      </c>
      <c r="K395" s="2">
        <v>206</v>
      </c>
    </row>
    <row r="396" spans="1:11" x14ac:dyDescent="0.25">
      <c r="A396" t="s">
        <v>29</v>
      </c>
      <c r="B396" t="s">
        <v>20</v>
      </c>
      <c r="C396" s="2" t="s">
        <v>6</v>
      </c>
      <c r="D396" s="2">
        <f t="shared" si="20"/>
        <v>2025</v>
      </c>
      <c r="E396" s="2" t="str">
        <f t="shared" si="21"/>
        <v>Nov</v>
      </c>
      <c r="F396" s="3">
        <f t="shared" si="22"/>
        <v>45962</v>
      </c>
      <c r="G396" s="3" t="s">
        <v>37</v>
      </c>
      <c r="H396" s="2">
        <v>72</v>
      </c>
      <c r="I396" s="2">
        <v>68</v>
      </c>
      <c r="J396" s="2">
        <v>240</v>
      </c>
      <c r="K396" s="2">
        <v>257</v>
      </c>
    </row>
    <row r="397" spans="1:11" x14ac:dyDescent="0.25">
      <c r="A397" t="s">
        <v>29</v>
      </c>
      <c r="B397" t="s">
        <v>20</v>
      </c>
      <c r="C397" s="2" t="s">
        <v>6</v>
      </c>
      <c r="D397" s="2">
        <f t="shared" si="20"/>
        <v>2025</v>
      </c>
      <c r="E397" s="2" t="str">
        <f t="shared" si="21"/>
        <v>Dec</v>
      </c>
      <c r="F397" s="3">
        <f t="shared" si="22"/>
        <v>45992</v>
      </c>
      <c r="G397" s="3" t="s">
        <v>37</v>
      </c>
      <c r="H397" s="2">
        <v>92</v>
      </c>
      <c r="I397" s="2">
        <v>94</v>
      </c>
      <c r="J397" s="2">
        <v>184</v>
      </c>
      <c r="K397" s="2">
        <v>177</v>
      </c>
    </row>
    <row r="398" spans="1:11" x14ac:dyDescent="0.25">
      <c r="A398" t="s">
        <v>29</v>
      </c>
      <c r="B398" t="s">
        <v>20</v>
      </c>
      <c r="C398" s="2" t="s">
        <v>6</v>
      </c>
      <c r="D398" s="2">
        <f t="shared" si="20"/>
        <v>2026</v>
      </c>
      <c r="E398" s="2" t="str">
        <f t="shared" si="21"/>
        <v>Jan</v>
      </c>
      <c r="F398" s="3">
        <f t="shared" si="22"/>
        <v>46023</v>
      </c>
      <c r="G398" s="3" t="s">
        <v>37</v>
      </c>
      <c r="H398" s="2">
        <v>96</v>
      </c>
      <c r="I398" s="2">
        <v>101</v>
      </c>
      <c r="J398" s="2">
        <v>272</v>
      </c>
      <c r="K398" s="2">
        <v>270</v>
      </c>
    </row>
    <row r="399" spans="1:11" x14ac:dyDescent="0.25">
      <c r="A399" t="s">
        <v>29</v>
      </c>
      <c r="B399" t="s">
        <v>20</v>
      </c>
      <c r="C399" s="2" t="s">
        <v>6</v>
      </c>
      <c r="D399" s="2">
        <f t="shared" si="20"/>
        <v>2026</v>
      </c>
      <c r="E399" s="2" t="str">
        <f t="shared" si="21"/>
        <v>Feb</v>
      </c>
      <c r="F399" s="3">
        <f t="shared" si="22"/>
        <v>46054</v>
      </c>
      <c r="G399" s="3" t="s">
        <v>37</v>
      </c>
      <c r="H399" s="2">
        <v>74</v>
      </c>
      <c r="I399" s="2">
        <v>78</v>
      </c>
      <c r="J399" s="2">
        <v>234</v>
      </c>
      <c r="K399" s="2">
        <v>232</v>
      </c>
    </row>
    <row r="400" spans="1:11" x14ac:dyDescent="0.25">
      <c r="A400" t="s">
        <v>29</v>
      </c>
      <c r="B400" t="s">
        <v>20</v>
      </c>
      <c r="C400" s="2" t="s">
        <v>6</v>
      </c>
      <c r="D400" s="2">
        <f t="shared" si="20"/>
        <v>2026</v>
      </c>
      <c r="E400" s="2" t="str">
        <f t="shared" si="21"/>
        <v>Mar</v>
      </c>
      <c r="F400" s="3">
        <f t="shared" si="22"/>
        <v>46082</v>
      </c>
      <c r="G400" s="3" t="s">
        <v>37</v>
      </c>
      <c r="H400" s="2">
        <v>56</v>
      </c>
      <c r="I400" s="2">
        <v>51</v>
      </c>
      <c r="J400" s="2">
        <v>253</v>
      </c>
      <c r="K400" s="2">
        <v>259</v>
      </c>
    </row>
    <row r="401" spans="1:11" x14ac:dyDescent="0.25">
      <c r="A401" t="s">
        <v>29</v>
      </c>
      <c r="B401" t="s">
        <v>20</v>
      </c>
      <c r="C401" s="2" t="s">
        <v>6</v>
      </c>
      <c r="D401" s="2">
        <f t="shared" si="20"/>
        <v>2026</v>
      </c>
      <c r="E401" s="2" t="str">
        <f t="shared" si="21"/>
        <v>Apr</v>
      </c>
      <c r="F401" s="3">
        <f t="shared" si="22"/>
        <v>46113</v>
      </c>
      <c r="G401" s="3" t="s">
        <v>37</v>
      </c>
      <c r="H401" s="2">
        <v>50</v>
      </c>
      <c r="I401" s="2">
        <v>45</v>
      </c>
      <c r="J401" s="2">
        <v>209</v>
      </c>
      <c r="K401" s="2">
        <v>221</v>
      </c>
    </row>
    <row r="402" spans="1:11" x14ac:dyDescent="0.25">
      <c r="A402" t="s">
        <v>29</v>
      </c>
      <c r="B402" t="s">
        <v>20</v>
      </c>
      <c r="C402" s="2" t="s">
        <v>6</v>
      </c>
      <c r="D402" s="2">
        <f t="shared" si="20"/>
        <v>2026</v>
      </c>
      <c r="E402" s="2" t="str">
        <f t="shared" si="21"/>
        <v>May</v>
      </c>
      <c r="F402" s="3">
        <f t="shared" si="22"/>
        <v>46143</v>
      </c>
      <c r="G402" s="3" t="s">
        <v>37</v>
      </c>
      <c r="H402" s="2">
        <v>52</v>
      </c>
      <c r="I402" s="2">
        <v>49</v>
      </c>
      <c r="J402" s="2">
        <v>181</v>
      </c>
      <c r="K402" s="2">
        <v>178</v>
      </c>
    </row>
    <row r="403" spans="1:11" x14ac:dyDescent="0.25">
      <c r="A403" t="s">
        <v>29</v>
      </c>
      <c r="B403" t="s">
        <v>20</v>
      </c>
      <c r="C403" s="2" t="s">
        <v>6</v>
      </c>
      <c r="D403" s="2">
        <f t="shared" si="20"/>
        <v>2026</v>
      </c>
      <c r="E403" s="2" t="str">
        <f t="shared" si="21"/>
        <v>Jun</v>
      </c>
      <c r="F403" s="3">
        <f t="shared" si="22"/>
        <v>46174</v>
      </c>
      <c r="G403" s="3" t="s">
        <v>37</v>
      </c>
      <c r="H403" s="2">
        <v>65</v>
      </c>
      <c r="I403" s="2">
        <v>68</v>
      </c>
      <c r="J403" s="2">
        <v>233</v>
      </c>
      <c r="K403" s="2">
        <v>230</v>
      </c>
    </row>
    <row r="404" spans="1:11" x14ac:dyDescent="0.25">
      <c r="A404" t="s">
        <v>29</v>
      </c>
      <c r="B404" t="s">
        <v>20</v>
      </c>
      <c r="C404" s="2" t="s">
        <v>6</v>
      </c>
      <c r="D404" s="2">
        <f t="shared" si="20"/>
        <v>2026</v>
      </c>
      <c r="E404" s="2" t="str">
        <f t="shared" si="21"/>
        <v>Jul</v>
      </c>
      <c r="F404" s="3">
        <f t="shared" si="22"/>
        <v>46204</v>
      </c>
      <c r="G404" s="3" t="s">
        <v>37</v>
      </c>
      <c r="H404" s="2">
        <v>59</v>
      </c>
      <c r="I404" s="2">
        <v>64</v>
      </c>
      <c r="J404" s="2">
        <v>253</v>
      </c>
      <c r="K404" s="2">
        <v>264</v>
      </c>
    </row>
    <row r="405" spans="1:11" x14ac:dyDescent="0.25">
      <c r="A405" t="s">
        <v>29</v>
      </c>
      <c r="B405" t="s">
        <v>20</v>
      </c>
      <c r="C405" s="2" t="s">
        <v>6</v>
      </c>
      <c r="D405" s="2">
        <f t="shared" si="20"/>
        <v>2026</v>
      </c>
      <c r="E405" s="2" t="str">
        <f t="shared" si="21"/>
        <v>Aug</v>
      </c>
      <c r="F405" s="3">
        <f t="shared" si="22"/>
        <v>46235</v>
      </c>
      <c r="G405" s="3" t="s">
        <v>37</v>
      </c>
      <c r="H405" s="2">
        <v>47</v>
      </c>
      <c r="I405" s="2">
        <v>42</v>
      </c>
      <c r="J405" s="2">
        <v>239</v>
      </c>
      <c r="K405" s="2">
        <v>257</v>
      </c>
    </row>
    <row r="406" spans="1:11" x14ac:dyDescent="0.25">
      <c r="A406" t="s">
        <v>29</v>
      </c>
      <c r="B406" t="s">
        <v>20</v>
      </c>
      <c r="C406" s="2" t="s">
        <v>6</v>
      </c>
      <c r="D406" s="2">
        <f t="shared" si="20"/>
        <v>2026</v>
      </c>
      <c r="E406" s="2" t="str">
        <f t="shared" si="21"/>
        <v>Sep</v>
      </c>
      <c r="F406" s="3">
        <f t="shared" si="22"/>
        <v>46266</v>
      </c>
      <c r="G406" s="3" t="s">
        <v>37</v>
      </c>
      <c r="H406" s="2">
        <v>50</v>
      </c>
      <c r="I406" s="2">
        <v>48</v>
      </c>
      <c r="J406" s="2">
        <v>195</v>
      </c>
      <c r="K406" s="2">
        <v>183</v>
      </c>
    </row>
    <row r="407" spans="1:11" x14ac:dyDescent="0.25">
      <c r="A407" t="s">
        <v>29</v>
      </c>
      <c r="B407" t="s">
        <v>20</v>
      </c>
      <c r="C407" s="2" t="s">
        <v>6</v>
      </c>
      <c r="D407" s="2">
        <f t="shared" si="20"/>
        <v>2026</v>
      </c>
      <c r="E407" s="2" t="str">
        <f t="shared" si="21"/>
        <v>Oct</v>
      </c>
      <c r="F407" s="3">
        <f t="shared" si="22"/>
        <v>46296</v>
      </c>
      <c r="G407" s="3" t="s">
        <v>37</v>
      </c>
      <c r="H407" s="2">
        <v>60</v>
      </c>
      <c r="I407" s="2">
        <v>65</v>
      </c>
      <c r="J407" s="2">
        <v>248</v>
      </c>
      <c r="K407" s="2">
        <v>259</v>
      </c>
    </row>
    <row r="408" spans="1:11" x14ac:dyDescent="0.25">
      <c r="A408" t="s">
        <v>29</v>
      </c>
      <c r="B408" t="s">
        <v>20</v>
      </c>
      <c r="C408" s="2" t="s">
        <v>6</v>
      </c>
      <c r="D408" s="2">
        <f t="shared" si="20"/>
        <v>2026</v>
      </c>
      <c r="E408" s="2" t="str">
        <f t="shared" si="21"/>
        <v>Nov</v>
      </c>
      <c r="F408" s="3">
        <f t="shared" si="22"/>
        <v>46327</v>
      </c>
      <c r="G408" s="3" t="s">
        <v>37</v>
      </c>
      <c r="H408" s="2">
        <v>62</v>
      </c>
      <c r="I408" s="2">
        <v>61</v>
      </c>
      <c r="J408" s="2">
        <v>273</v>
      </c>
      <c r="K408" s="2">
        <v>261</v>
      </c>
    </row>
    <row r="409" spans="1:11" x14ac:dyDescent="0.25">
      <c r="A409" t="s">
        <v>29</v>
      </c>
      <c r="B409" t="s">
        <v>20</v>
      </c>
      <c r="C409" s="2" t="s">
        <v>6</v>
      </c>
      <c r="D409" s="2">
        <f t="shared" si="20"/>
        <v>2026</v>
      </c>
      <c r="E409" s="2" t="str">
        <f t="shared" si="21"/>
        <v>Dec</v>
      </c>
      <c r="F409" s="3">
        <f t="shared" si="22"/>
        <v>46357</v>
      </c>
      <c r="G409" s="3" t="s">
        <v>37</v>
      </c>
      <c r="H409" s="2">
        <v>52</v>
      </c>
      <c r="I409" s="2">
        <v>57</v>
      </c>
      <c r="J409" s="2">
        <v>245</v>
      </c>
      <c r="K409" s="2">
        <v>230</v>
      </c>
    </row>
    <row r="410" spans="1:11" x14ac:dyDescent="0.25">
      <c r="A410" t="s">
        <v>29</v>
      </c>
      <c r="B410" t="s">
        <v>20</v>
      </c>
      <c r="C410" s="2" t="s">
        <v>6</v>
      </c>
      <c r="D410" s="2">
        <f t="shared" si="20"/>
        <v>2027</v>
      </c>
      <c r="E410" s="2" t="str">
        <f t="shared" si="21"/>
        <v>Jan</v>
      </c>
      <c r="F410" s="3">
        <f t="shared" si="22"/>
        <v>46388</v>
      </c>
      <c r="G410" s="3" t="s">
        <v>37</v>
      </c>
      <c r="H410" s="2">
        <v>96</v>
      </c>
      <c r="I410" s="2">
        <v>101</v>
      </c>
      <c r="J410" s="2">
        <v>272</v>
      </c>
      <c r="K410" s="2">
        <v>270</v>
      </c>
    </row>
    <row r="411" spans="1:11" x14ac:dyDescent="0.25">
      <c r="A411" t="s">
        <v>29</v>
      </c>
      <c r="B411" t="s">
        <v>20</v>
      </c>
      <c r="C411" s="2" t="s">
        <v>6</v>
      </c>
      <c r="D411" s="2">
        <f t="shared" si="20"/>
        <v>2027</v>
      </c>
      <c r="E411" s="2" t="str">
        <f t="shared" si="21"/>
        <v>Feb</v>
      </c>
      <c r="F411" s="3">
        <f t="shared" si="22"/>
        <v>46419</v>
      </c>
      <c r="G411" s="3" t="s">
        <v>37</v>
      </c>
      <c r="H411" s="2">
        <v>74</v>
      </c>
      <c r="I411" s="2">
        <v>78</v>
      </c>
      <c r="J411" s="2">
        <v>234</v>
      </c>
      <c r="K411" s="2">
        <v>232</v>
      </c>
    </row>
    <row r="412" spans="1:11" x14ac:dyDescent="0.25">
      <c r="A412" t="s">
        <v>29</v>
      </c>
      <c r="B412" t="s">
        <v>20</v>
      </c>
      <c r="C412" s="2" t="s">
        <v>6</v>
      </c>
      <c r="D412" s="2">
        <f t="shared" si="20"/>
        <v>2027</v>
      </c>
      <c r="E412" s="2" t="str">
        <f t="shared" si="21"/>
        <v>Mar</v>
      </c>
      <c r="F412" s="3">
        <f t="shared" si="22"/>
        <v>46447</v>
      </c>
      <c r="G412" s="3" t="s">
        <v>37</v>
      </c>
      <c r="H412" s="2">
        <v>56</v>
      </c>
      <c r="I412" s="2">
        <v>51</v>
      </c>
      <c r="J412" s="2">
        <v>253</v>
      </c>
      <c r="K412" s="2">
        <v>259</v>
      </c>
    </row>
    <row r="413" spans="1:11" x14ac:dyDescent="0.25">
      <c r="A413" t="s">
        <v>29</v>
      </c>
      <c r="B413" t="s">
        <v>20</v>
      </c>
      <c r="C413" s="2" t="s">
        <v>6</v>
      </c>
      <c r="D413" s="2">
        <f t="shared" si="20"/>
        <v>2027</v>
      </c>
      <c r="E413" s="2" t="str">
        <f t="shared" si="21"/>
        <v>Apr</v>
      </c>
      <c r="F413" s="3">
        <f t="shared" si="22"/>
        <v>46478</v>
      </c>
      <c r="G413" s="3" t="s">
        <v>37</v>
      </c>
      <c r="H413" s="2">
        <v>50</v>
      </c>
      <c r="I413" s="2">
        <v>45</v>
      </c>
      <c r="J413" s="2">
        <v>209</v>
      </c>
      <c r="K413" s="2">
        <v>221</v>
      </c>
    </row>
    <row r="414" spans="1:11" x14ac:dyDescent="0.25">
      <c r="A414" t="s">
        <v>29</v>
      </c>
      <c r="B414" t="s">
        <v>20</v>
      </c>
      <c r="C414" s="2" t="s">
        <v>6</v>
      </c>
      <c r="D414" s="2">
        <f t="shared" si="20"/>
        <v>2027</v>
      </c>
      <c r="E414" s="2" t="str">
        <f t="shared" si="21"/>
        <v>May</v>
      </c>
      <c r="F414" s="3">
        <f t="shared" si="22"/>
        <v>46508</v>
      </c>
      <c r="G414" s="3" t="s">
        <v>37</v>
      </c>
      <c r="H414" s="2">
        <v>52</v>
      </c>
      <c r="I414" s="2">
        <v>49</v>
      </c>
      <c r="J414" s="2">
        <v>181</v>
      </c>
      <c r="K414" s="2">
        <v>178</v>
      </c>
    </row>
    <row r="415" spans="1:11" x14ac:dyDescent="0.25">
      <c r="A415" t="s">
        <v>29</v>
      </c>
      <c r="B415" t="s">
        <v>20</v>
      </c>
      <c r="C415" s="2" t="s">
        <v>6</v>
      </c>
      <c r="D415" s="2">
        <f t="shared" si="20"/>
        <v>2027</v>
      </c>
      <c r="E415" s="2" t="str">
        <f t="shared" si="21"/>
        <v>Jun</v>
      </c>
      <c r="F415" s="3">
        <f t="shared" si="22"/>
        <v>46539</v>
      </c>
      <c r="G415" s="3" t="s">
        <v>37</v>
      </c>
      <c r="H415" s="2">
        <v>65</v>
      </c>
      <c r="I415" s="2">
        <v>68</v>
      </c>
      <c r="J415" s="2">
        <v>233</v>
      </c>
      <c r="K415" s="2">
        <v>230</v>
      </c>
    </row>
    <row r="416" spans="1:11" x14ac:dyDescent="0.25">
      <c r="A416" t="s">
        <v>29</v>
      </c>
      <c r="B416" t="s">
        <v>20</v>
      </c>
      <c r="C416" s="2" t="s">
        <v>6</v>
      </c>
      <c r="D416" s="2">
        <f t="shared" si="20"/>
        <v>2027</v>
      </c>
      <c r="E416" s="2" t="str">
        <f t="shared" si="21"/>
        <v>Jul</v>
      </c>
      <c r="F416" s="3">
        <f t="shared" si="22"/>
        <v>46569</v>
      </c>
      <c r="G416" s="3" t="s">
        <v>37</v>
      </c>
      <c r="H416" s="2">
        <v>59</v>
      </c>
      <c r="I416" s="2">
        <v>64</v>
      </c>
      <c r="J416" s="2">
        <v>253</v>
      </c>
      <c r="K416" s="2">
        <v>264</v>
      </c>
    </row>
    <row r="417" spans="1:11" x14ac:dyDescent="0.25">
      <c r="A417" t="s">
        <v>29</v>
      </c>
      <c r="B417" t="s">
        <v>20</v>
      </c>
      <c r="C417" s="2" t="s">
        <v>6</v>
      </c>
      <c r="D417" s="2">
        <f t="shared" si="20"/>
        <v>2027</v>
      </c>
      <c r="E417" s="2" t="str">
        <f t="shared" si="21"/>
        <v>Aug</v>
      </c>
      <c r="F417" s="3">
        <f t="shared" si="22"/>
        <v>46600</v>
      </c>
      <c r="G417" s="3" t="s">
        <v>37</v>
      </c>
      <c r="H417" s="2">
        <v>47</v>
      </c>
      <c r="I417" s="2">
        <v>42</v>
      </c>
      <c r="J417" s="2">
        <v>239</v>
      </c>
      <c r="K417" s="2">
        <v>257</v>
      </c>
    </row>
    <row r="418" spans="1:11" x14ac:dyDescent="0.25">
      <c r="A418" t="s">
        <v>29</v>
      </c>
      <c r="B418" t="s">
        <v>20</v>
      </c>
      <c r="C418" s="2" t="s">
        <v>6</v>
      </c>
      <c r="D418" s="2">
        <f t="shared" si="20"/>
        <v>2027</v>
      </c>
      <c r="E418" s="2" t="str">
        <f t="shared" si="21"/>
        <v>Sep</v>
      </c>
      <c r="F418" s="3">
        <f t="shared" si="22"/>
        <v>46631</v>
      </c>
      <c r="G418" s="3" t="s">
        <v>37</v>
      </c>
      <c r="H418" s="2">
        <v>50</v>
      </c>
      <c r="I418" s="2">
        <v>48</v>
      </c>
      <c r="J418" s="2">
        <v>195</v>
      </c>
      <c r="K418" s="2">
        <v>183</v>
      </c>
    </row>
    <row r="419" spans="1:11" x14ac:dyDescent="0.25">
      <c r="A419" t="s">
        <v>29</v>
      </c>
      <c r="B419" t="s">
        <v>20</v>
      </c>
      <c r="C419" s="2" t="s">
        <v>6</v>
      </c>
      <c r="D419" s="2">
        <f t="shared" si="20"/>
        <v>2027</v>
      </c>
      <c r="E419" s="2" t="str">
        <f t="shared" si="21"/>
        <v>Oct</v>
      </c>
      <c r="F419" s="3">
        <f t="shared" si="22"/>
        <v>46661</v>
      </c>
      <c r="G419" s="3" t="s">
        <v>37</v>
      </c>
      <c r="H419" s="2">
        <v>60</v>
      </c>
      <c r="I419" s="2">
        <v>65</v>
      </c>
      <c r="J419" s="2">
        <v>248</v>
      </c>
      <c r="K419" s="2">
        <v>259</v>
      </c>
    </row>
    <row r="420" spans="1:11" x14ac:dyDescent="0.25">
      <c r="A420" t="s">
        <v>29</v>
      </c>
      <c r="B420" t="s">
        <v>20</v>
      </c>
      <c r="C420" s="2" t="s">
        <v>6</v>
      </c>
      <c r="D420" s="2">
        <f t="shared" si="20"/>
        <v>2027</v>
      </c>
      <c r="E420" s="2" t="str">
        <f t="shared" si="21"/>
        <v>Nov</v>
      </c>
      <c r="F420" s="3">
        <f t="shared" si="22"/>
        <v>46692</v>
      </c>
      <c r="G420" s="3" t="s">
        <v>37</v>
      </c>
      <c r="H420" s="2">
        <v>62</v>
      </c>
      <c r="I420" s="2">
        <v>61</v>
      </c>
      <c r="J420" s="2">
        <v>273</v>
      </c>
      <c r="K420" s="2">
        <v>261</v>
      </c>
    </row>
    <row r="421" spans="1:11" x14ac:dyDescent="0.25">
      <c r="A421" t="s">
        <v>29</v>
      </c>
      <c r="B421" t="s">
        <v>20</v>
      </c>
      <c r="C421" s="2" t="s">
        <v>6</v>
      </c>
      <c r="D421" s="2">
        <f t="shared" si="20"/>
        <v>2027</v>
      </c>
      <c r="E421" s="2" t="str">
        <f t="shared" si="21"/>
        <v>Dec</v>
      </c>
      <c r="F421" s="3">
        <f t="shared" si="22"/>
        <v>46722</v>
      </c>
      <c r="G421" s="3" t="s">
        <v>37</v>
      </c>
      <c r="H421" s="2">
        <v>52</v>
      </c>
      <c r="I421" s="2">
        <v>57</v>
      </c>
      <c r="J421" s="2">
        <v>245</v>
      </c>
      <c r="K421" s="2">
        <v>230</v>
      </c>
    </row>
    <row r="422" spans="1:11" x14ac:dyDescent="0.25">
      <c r="A422" t="s">
        <v>32</v>
      </c>
      <c r="B422" t="s">
        <v>20</v>
      </c>
      <c r="C422" s="2" t="s">
        <v>5</v>
      </c>
      <c r="D422" s="2">
        <f>YEAR(F422)</f>
        <v>2023</v>
      </c>
      <c r="E422" s="2" t="str">
        <f>TEXT(F422,"mmm")</f>
        <v>Jan</v>
      </c>
      <c r="F422" s="3">
        <v>44927</v>
      </c>
      <c r="G422" s="3" t="s">
        <v>37</v>
      </c>
      <c r="H422" s="2">
        <v>60</v>
      </c>
      <c r="I422" s="2">
        <v>58</v>
      </c>
      <c r="J422" s="2">
        <v>183</v>
      </c>
      <c r="K422" s="2">
        <v>176</v>
      </c>
    </row>
    <row r="423" spans="1:11" x14ac:dyDescent="0.25">
      <c r="A423" t="s">
        <v>32</v>
      </c>
      <c r="B423" t="s">
        <v>20</v>
      </c>
      <c r="C423" s="2" t="s">
        <v>5</v>
      </c>
      <c r="D423" s="2">
        <f t="shared" ref="D423:D481" si="23">YEAR(F423)</f>
        <v>2023</v>
      </c>
      <c r="E423" s="2" t="str">
        <f t="shared" si="21"/>
        <v>Feb</v>
      </c>
      <c r="F423" s="3">
        <f>EOMONTH(F422,0)+1</f>
        <v>44958</v>
      </c>
      <c r="G423" s="3" t="s">
        <v>37</v>
      </c>
      <c r="H423" s="2">
        <v>69</v>
      </c>
      <c r="I423" s="2">
        <v>66</v>
      </c>
      <c r="J423" s="2">
        <v>281</v>
      </c>
      <c r="K423" s="2">
        <v>277</v>
      </c>
    </row>
    <row r="424" spans="1:11" x14ac:dyDescent="0.25">
      <c r="A424" t="s">
        <v>32</v>
      </c>
      <c r="B424" t="s">
        <v>20</v>
      </c>
      <c r="C424" s="2" t="s">
        <v>5</v>
      </c>
      <c r="D424" s="2">
        <f t="shared" si="23"/>
        <v>2023</v>
      </c>
      <c r="E424" s="2" t="str">
        <f t="shared" si="21"/>
        <v>Mar</v>
      </c>
      <c r="F424" s="3">
        <f t="shared" ref="F424:F481" si="24">EOMONTH(F423,0)+1</f>
        <v>44986</v>
      </c>
      <c r="G424" s="3" t="s">
        <v>37</v>
      </c>
      <c r="H424" s="2">
        <v>42</v>
      </c>
      <c r="I424" s="2">
        <v>43</v>
      </c>
      <c r="J424" s="2">
        <v>280</v>
      </c>
      <c r="K424" s="2">
        <v>294</v>
      </c>
    </row>
    <row r="425" spans="1:11" x14ac:dyDescent="0.25">
      <c r="A425" t="s">
        <v>32</v>
      </c>
      <c r="B425" t="s">
        <v>20</v>
      </c>
      <c r="C425" s="2" t="s">
        <v>5</v>
      </c>
      <c r="D425" s="2">
        <f t="shared" si="23"/>
        <v>2023</v>
      </c>
      <c r="E425" s="2" t="str">
        <f t="shared" si="21"/>
        <v>Apr</v>
      </c>
      <c r="F425" s="3">
        <f t="shared" si="24"/>
        <v>45017</v>
      </c>
      <c r="G425" s="3" t="s">
        <v>37</v>
      </c>
      <c r="H425" s="2">
        <v>59</v>
      </c>
      <c r="I425" s="2">
        <v>61</v>
      </c>
      <c r="J425" s="2">
        <v>232</v>
      </c>
      <c r="K425" s="2">
        <v>230</v>
      </c>
    </row>
    <row r="426" spans="1:11" x14ac:dyDescent="0.25">
      <c r="A426" t="s">
        <v>32</v>
      </c>
      <c r="B426" t="s">
        <v>20</v>
      </c>
      <c r="C426" s="2" t="s">
        <v>5</v>
      </c>
      <c r="D426" s="2">
        <f t="shared" si="23"/>
        <v>2023</v>
      </c>
      <c r="E426" s="2" t="str">
        <f t="shared" si="21"/>
        <v>May</v>
      </c>
      <c r="F426" s="3">
        <f t="shared" si="24"/>
        <v>45047</v>
      </c>
      <c r="G426" s="3" t="s">
        <v>37</v>
      </c>
      <c r="H426" s="2">
        <v>84</v>
      </c>
      <c r="I426" s="2">
        <v>84</v>
      </c>
      <c r="J426" s="2">
        <v>203</v>
      </c>
      <c r="K426" s="2">
        <v>198</v>
      </c>
    </row>
    <row r="427" spans="1:11" x14ac:dyDescent="0.25">
      <c r="A427" t="s">
        <v>32</v>
      </c>
      <c r="B427" t="s">
        <v>20</v>
      </c>
      <c r="C427" s="2" t="s">
        <v>5</v>
      </c>
      <c r="D427" s="2">
        <f t="shared" si="23"/>
        <v>2023</v>
      </c>
      <c r="E427" s="2" t="str">
        <f t="shared" ref="E427:E481" si="25">TEXT(F427,"mmm")</f>
        <v>Jun</v>
      </c>
      <c r="F427" s="3">
        <f t="shared" si="24"/>
        <v>45078</v>
      </c>
      <c r="G427" s="3" t="s">
        <v>37</v>
      </c>
      <c r="H427" s="2">
        <v>93</v>
      </c>
      <c r="I427" s="2">
        <v>101</v>
      </c>
      <c r="J427" s="2">
        <v>276</v>
      </c>
      <c r="K427" s="2">
        <v>287</v>
      </c>
    </row>
    <row r="428" spans="1:11" x14ac:dyDescent="0.25">
      <c r="A428" t="s">
        <v>32</v>
      </c>
      <c r="B428" t="s">
        <v>20</v>
      </c>
      <c r="C428" s="2" t="s">
        <v>5</v>
      </c>
      <c r="D428" s="2">
        <f t="shared" si="23"/>
        <v>2023</v>
      </c>
      <c r="E428" s="2" t="str">
        <f t="shared" si="25"/>
        <v>Jul</v>
      </c>
      <c r="F428" s="3">
        <f t="shared" si="24"/>
        <v>45108</v>
      </c>
      <c r="G428" s="3" t="s">
        <v>37</v>
      </c>
      <c r="H428" s="2">
        <v>93</v>
      </c>
      <c r="I428" s="2">
        <v>94</v>
      </c>
      <c r="J428" s="2">
        <v>214</v>
      </c>
      <c r="K428" s="2">
        <v>229</v>
      </c>
    </row>
    <row r="429" spans="1:11" x14ac:dyDescent="0.25">
      <c r="A429" t="s">
        <v>32</v>
      </c>
      <c r="B429" t="s">
        <v>20</v>
      </c>
      <c r="C429" s="2" t="s">
        <v>5</v>
      </c>
      <c r="D429" s="2">
        <f t="shared" si="23"/>
        <v>2023</v>
      </c>
      <c r="E429" s="2" t="str">
        <f t="shared" si="25"/>
        <v>Aug</v>
      </c>
      <c r="F429" s="3">
        <f t="shared" si="24"/>
        <v>45139</v>
      </c>
      <c r="G429" s="3" t="s">
        <v>37</v>
      </c>
      <c r="H429" s="2">
        <v>94</v>
      </c>
      <c r="I429" s="2">
        <v>96</v>
      </c>
      <c r="J429" s="2">
        <v>298</v>
      </c>
      <c r="K429" s="2">
        <v>302</v>
      </c>
    </row>
    <row r="430" spans="1:11" x14ac:dyDescent="0.25">
      <c r="A430" t="s">
        <v>32</v>
      </c>
      <c r="B430" t="s">
        <v>20</v>
      </c>
      <c r="C430" s="2" t="s">
        <v>5</v>
      </c>
      <c r="D430" s="2">
        <f t="shared" si="23"/>
        <v>2023</v>
      </c>
      <c r="E430" s="2" t="str">
        <f t="shared" si="25"/>
        <v>Sep</v>
      </c>
      <c r="F430" s="3">
        <f t="shared" si="24"/>
        <v>45170</v>
      </c>
      <c r="G430" s="3" t="s">
        <v>37</v>
      </c>
      <c r="H430" s="2">
        <v>95</v>
      </c>
      <c r="I430" s="2">
        <v>95</v>
      </c>
      <c r="J430" s="2">
        <v>292</v>
      </c>
      <c r="K430" s="2">
        <v>273</v>
      </c>
    </row>
    <row r="431" spans="1:11" x14ac:dyDescent="0.25">
      <c r="A431" t="s">
        <v>32</v>
      </c>
      <c r="B431" t="s">
        <v>20</v>
      </c>
      <c r="C431" s="2" t="s">
        <v>5</v>
      </c>
      <c r="D431" s="2">
        <f t="shared" si="23"/>
        <v>2023</v>
      </c>
      <c r="E431" s="2" t="str">
        <f t="shared" si="25"/>
        <v>Oct</v>
      </c>
      <c r="F431" s="3">
        <f t="shared" si="24"/>
        <v>45200</v>
      </c>
      <c r="G431" s="3" t="s">
        <v>37</v>
      </c>
      <c r="H431" s="2">
        <v>102</v>
      </c>
      <c r="I431" s="2">
        <v>94</v>
      </c>
      <c r="J431" s="2">
        <v>239</v>
      </c>
      <c r="K431" s="2">
        <v>228</v>
      </c>
    </row>
    <row r="432" spans="1:11" x14ac:dyDescent="0.25">
      <c r="A432" t="s">
        <v>32</v>
      </c>
      <c r="B432" t="s">
        <v>20</v>
      </c>
      <c r="C432" s="2" t="s">
        <v>5</v>
      </c>
      <c r="D432" s="2">
        <f t="shared" si="23"/>
        <v>2023</v>
      </c>
      <c r="E432" s="2" t="str">
        <f t="shared" si="25"/>
        <v>Nov</v>
      </c>
      <c r="F432" s="3">
        <f t="shared" si="24"/>
        <v>45231</v>
      </c>
      <c r="G432" s="3" t="s">
        <v>37</v>
      </c>
      <c r="H432" s="2">
        <v>61</v>
      </c>
      <c r="I432" s="2">
        <v>60</v>
      </c>
      <c r="J432" s="2">
        <v>238</v>
      </c>
      <c r="K432" s="2">
        <v>231</v>
      </c>
    </row>
    <row r="433" spans="1:11" x14ac:dyDescent="0.25">
      <c r="A433" t="s">
        <v>32</v>
      </c>
      <c r="B433" t="s">
        <v>20</v>
      </c>
      <c r="C433" s="2" t="s">
        <v>5</v>
      </c>
      <c r="D433" s="2">
        <f t="shared" si="23"/>
        <v>2023</v>
      </c>
      <c r="E433" s="2" t="str">
        <f t="shared" si="25"/>
        <v>Dec</v>
      </c>
      <c r="F433" s="3">
        <f t="shared" si="24"/>
        <v>45261</v>
      </c>
      <c r="G433" s="3" t="s">
        <v>37</v>
      </c>
      <c r="H433" s="2">
        <v>105</v>
      </c>
      <c r="I433" s="2">
        <v>95</v>
      </c>
      <c r="J433" s="2">
        <v>277</v>
      </c>
      <c r="K433" s="2">
        <v>274</v>
      </c>
    </row>
    <row r="434" spans="1:11" x14ac:dyDescent="0.25">
      <c r="A434" t="s">
        <v>32</v>
      </c>
      <c r="B434" t="s">
        <v>20</v>
      </c>
      <c r="C434" s="2" t="s">
        <v>5</v>
      </c>
      <c r="D434" s="2">
        <f t="shared" si="23"/>
        <v>2024</v>
      </c>
      <c r="E434" s="2" t="str">
        <f t="shared" si="25"/>
        <v>Jan</v>
      </c>
      <c r="F434" s="3">
        <f t="shared" si="24"/>
        <v>45292</v>
      </c>
      <c r="G434" s="3" t="s">
        <v>37</v>
      </c>
      <c r="H434" s="2">
        <v>68</v>
      </c>
      <c r="I434" s="2">
        <v>67</v>
      </c>
      <c r="J434" s="2">
        <v>197</v>
      </c>
      <c r="K434" s="2">
        <v>199</v>
      </c>
    </row>
    <row r="435" spans="1:11" x14ac:dyDescent="0.25">
      <c r="A435" t="s">
        <v>32</v>
      </c>
      <c r="B435" t="s">
        <v>20</v>
      </c>
      <c r="C435" s="2" t="s">
        <v>5</v>
      </c>
      <c r="D435" s="2">
        <f t="shared" si="23"/>
        <v>2024</v>
      </c>
      <c r="E435" s="2" t="str">
        <f t="shared" si="25"/>
        <v>Feb</v>
      </c>
      <c r="F435" s="3">
        <f t="shared" si="24"/>
        <v>45323</v>
      </c>
      <c r="G435" s="3" t="s">
        <v>37</v>
      </c>
      <c r="H435" s="2">
        <v>65</v>
      </c>
      <c r="I435" s="2">
        <v>66</v>
      </c>
      <c r="J435" s="2">
        <v>262</v>
      </c>
      <c r="K435" s="2">
        <v>267</v>
      </c>
    </row>
    <row r="436" spans="1:11" x14ac:dyDescent="0.25">
      <c r="A436" t="s">
        <v>32</v>
      </c>
      <c r="B436" t="s">
        <v>20</v>
      </c>
      <c r="C436" s="2" t="s">
        <v>5</v>
      </c>
      <c r="D436" s="2">
        <f t="shared" si="23"/>
        <v>2024</v>
      </c>
      <c r="E436" s="2" t="str">
        <f t="shared" si="25"/>
        <v>Mar</v>
      </c>
      <c r="F436" s="3">
        <f t="shared" si="24"/>
        <v>45352</v>
      </c>
      <c r="G436" s="3" t="s">
        <v>37</v>
      </c>
      <c r="H436" s="2">
        <v>53</v>
      </c>
      <c r="I436" s="2">
        <v>54</v>
      </c>
      <c r="J436" s="2">
        <v>293</v>
      </c>
      <c r="K436" s="2">
        <v>288</v>
      </c>
    </row>
    <row r="437" spans="1:11" x14ac:dyDescent="0.25">
      <c r="A437" t="s">
        <v>32</v>
      </c>
      <c r="B437" t="s">
        <v>20</v>
      </c>
      <c r="C437" s="2" t="s">
        <v>5</v>
      </c>
      <c r="D437" s="2">
        <f t="shared" si="23"/>
        <v>2024</v>
      </c>
      <c r="E437" s="2" t="str">
        <f t="shared" si="25"/>
        <v>Apr</v>
      </c>
      <c r="F437" s="3">
        <f t="shared" si="24"/>
        <v>45383</v>
      </c>
      <c r="G437" s="3" t="s">
        <v>37</v>
      </c>
      <c r="H437" s="2">
        <v>50</v>
      </c>
      <c r="I437" s="2">
        <v>50</v>
      </c>
      <c r="J437" s="2">
        <v>280</v>
      </c>
      <c r="K437" s="2">
        <v>300</v>
      </c>
    </row>
    <row r="438" spans="1:11" x14ac:dyDescent="0.25">
      <c r="A438" t="s">
        <v>32</v>
      </c>
      <c r="B438" t="s">
        <v>20</v>
      </c>
      <c r="C438" s="2" t="s">
        <v>5</v>
      </c>
      <c r="D438" s="2">
        <f t="shared" si="23"/>
        <v>2024</v>
      </c>
      <c r="E438" s="2" t="str">
        <f t="shared" si="25"/>
        <v>May</v>
      </c>
      <c r="F438" s="3">
        <f t="shared" si="24"/>
        <v>45413</v>
      </c>
      <c r="G438" s="3" t="s">
        <v>37</v>
      </c>
      <c r="H438" s="2">
        <v>52</v>
      </c>
      <c r="I438" s="2">
        <v>48</v>
      </c>
      <c r="J438" s="2">
        <v>288</v>
      </c>
      <c r="K438" s="2">
        <v>271</v>
      </c>
    </row>
    <row r="439" spans="1:11" x14ac:dyDescent="0.25">
      <c r="A439" t="s">
        <v>32</v>
      </c>
      <c r="B439" t="s">
        <v>20</v>
      </c>
      <c r="C439" s="2" t="s">
        <v>5</v>
      </c>
      <c r="D439" s="2">
        <f t="shared" si="23"/>
        <v>2024</v>
      </c>
      <c r="E439" s="2" t="str">
        <f t="shared" si="25"/>
        <v>Jun</v>
      </c>
      <c r="F439" s="3">
        <f t="shared" si="24"/>
        <v>45444</v>
      </c>
      <c r="G439" s="3" t="s">
        <v>37</v>
      </c>
      <c r="H439" s="2">
        <v>51</v>
      </c>
      <c r="I439" s="2">
        <v>52</v>
      </c>
      <c r="J439" s="2">
        <v>290</v>
      </c>
      <c r="K439" s="2">
        <v>287</v>
      </c>
    </row>
    <row r="440" spans="1:11" x14ac:dyDescent="0.25">
      <c r="A440" t="s">
        <v>32</v>
      </c>
      <c r="B440" t="s">
        <v>20</v>
      </c>
      <c r="C440" s="2" t="s">
        <v>5</v>
      </c>
      <c r="D440" s="2">
        <f t="shared" si="23"/>
        <v>2024</v>
      </c>
      <c r="E440" s="2" t="str">
        <f t="shared" si="25"/>
        <v>Jul</v>
      </c>
      <c r="F440" s="3">
        <f t="shared" si="24"/>
        <v>45474</v>
      </c>
      <c r="G440" s="3" t="s">
        <v>37</v>
      </c>
      <c r="H440" s="2">
        <v>61</v>
      </c>
      <c r="I440" s="2">
        <v>60</v>
      </c>
      <c r="J440" s="2">
        <v>258</v>
      </c>
      <c r="K440" s="2">
        <v>245</v>
      </c>
    </row>
    <row r="441" spans="1:11" x14ac:dyDescent="0.25">
      <c r="A441" t="s">
        <v>32</v>
      </c>
      <c r="B441" t="s">
        <v>20</v>
      </c>
      <c r="C441" s="2" t="s">
        <v>5</v>
      </c>
      <c r="D441" s="2">
        <f t="shared" si="23"/>
        <v>2024</v>
      </c>
      <c r="E441" s="2" t="str">
        <f t="shared" si="25"/>
        <v>Aug</v>
      </c>
      <c r="F441" s="3">
        <f t="shared" si="24"/>
        <v>45505</v>
      </c>
      <c r="G441" s="3" t="s">
        <v>37</v>
      </c>
      <c r="H441" s="2">
        <v>48</v>
      </c>
      <c r="I441" s="2">
        <v>52</v>
      </c>
      <c r="J441" s="2">
        <v>192</v>
      </c>
      <c r="K441" s="2">
        <v>194</v>
      </c>
    </row>
    <row r="442" spans="1:11" x14ac:dyDescent="0.25">
      <c r="A442" t="s">
        <v>32</v>
      </c>
      <c r="B442" t="s">
        <v>20</v>
      </c>
      <c r="C442" s="2" t="s">
        <v>5</v>
      </c>
      <c r="D442" s="2">
        <f t="shared" si="23"/>
        <v>2024</v>
      </c>
      <c r="E442" s="2" t="str">
        <f t="shared" si="25"/>
        <v>Sep</v>
      </c>
      <c r="F442" s="3">
        <f t="shared" si="24"/>
        <v>45536</v>
      </c>
      <c r="G442" s="3" t="s">
        <v>37</v>
      </c>
      <c r="H442" s="2">
        <v>56</v>
      </c>
      <c r="I442" s="2">
        <v>54</v>
      </c>
      <c r="J442" s="2">
        <v>295</v>
      </c>
      <c r="K442" s="2">
        <v>310</v>
      </c>
    </row>
    <row r="443" spans="1:11" x14ac:dyDescent="0.25">
      <c r="A443" t="s">
        <v>32</v>
      </c>
      <c r="B443" t="s">
        <v>20</v>
      </c>
      <c r="C443" s="2" t="s">
        <v>5</v>
      </c>
      <c r="D443" s="2">
        <f t="shared" si="23"/>
        <v>2024</v>
      </c>
      <c r="E443" s="2" t="str">
        <f t="shared" si="25"/>
        <v>Oct</v>
      </c>
      <c r="F443" s="3">
        <f t="shared" si="24"/>
        <v>45566</v>
      </c>
      <c r="G443" s="3" t="s">
        <v>37</v>
      </c>
      <c r="H443" s="2">
        <v>49</v>
      </c>
      <c r="I443" s="2">
        <v>47</v>
      </c>
      <c r="J443" s="2">
        <v>293</v>
      </c>
      <c r="K443" s="2">
        <v>282</v>
      </c>
    </row>
    <row r="444" spans="1:11" x14ac:dyDescent="0.25">
      <c r="A444" t="s">
        <v>32</v>
      </c>
      <c r="B444" t="s">
        <v>20</v>
      </c>
      <c r="C444" s="2" t="s">
        <v>5</v>
      </c>
      <c r="D444" s="2">
        <f t="shared" si="23"/>
        <v>2024</v>
      </c>
      <c r="E444" s="2" t="str">
        <f t="shared" si="25"/>
        <v>Nov</v>
      </c>
      <c r="F444" s="3">
        <f t="shared" si="24"/>
        <v>45597</v>
      </c>
      <c r="G444" s="3" t="s">
        <v>37</v>
      </c>
      <c r="H444" s="2">
        <v>42</v>
      </c>
      <c r="I444" s="2">
        <v>42</v>
      </c>
      <c r="J444" s="2">
        <v>202</v>
      </c>
      <c r="K444" s="2">
        <v>196</v>
      </c>
    </row>
    <row r="445" spans="1:11" x14ac:dyDescent="0.25">
      <c r="A445" t="s">
        <v>32</v>
      </c>
      <c r="B445" t="s">
        <v>20</v>
      </c>
      <c r="C445" s="2" t="s">
        <v>5</v>
      </c>
      <c r="D445" s="2">
        <f t="shared" si="23"/>
        <v>2024</v>
      </c>
      <c r="E445" s="2" t="str">
        <f t="shared" si="25"/>
        <v>Dec</v>
      </c>
      <c r="F445" s="3">
        <f t="shared" si="24"/>
        <v>45627</v>
      </c>
      <c r="G445" s="3" t="s">
        <v>37</v>
      </c>
      <c r="H445" s="2">
        <v>60</v>
      </c>
      <c r="I445" s="2">
        <v>64</v>
      </c>
      <c r="J445" s="2">
        <v>289</v>
      </c>
      <c r="K445" s="2">
        <v>273</v>
      </c>
    </row>
    <row r="446" spans="1:11" x14ac:dyDescent="0.25">
      <c r="A446" t="s">
        <v>32</v>
      </c>
      <c r="B446" t="s">
        <v>20</v>
      </c>
      <c r="C446" s="2" t="s">
        <v>6</v>
      </c>
      <c r="D446" s="2">
        <f t="shared" si="23"/>
        <v>2025</v>
      </c>
      <c r="E446" s="2" t="str">
        <f t="shared" si="25"/>
        <v>Jan</v>
      </c>
      <c r="F446" s="3">
        <f t="shared" si="24"/>
        <v>45658</v>
      </c>
      <c r="G446" s="3" t="s">
        <v>37</v>
      </c>
      <c r="H446" s="2">
        <v>62</v>
      </c>
      <c r="I446" s="2">
        <v>59</v>
      </c>
      <c r="J446" s="2">
        <v>298</v>
      </c>
      <c r="K446" s="2">
        <v>281</v>
      </c>
    </row>
    <row r="447" spans="1:11" x14ac:dyDescent="0.25">
      <c r="A447" t="s">
        <v>32</v>
      </c>
      <c r="B447" t="s">
        <v>20</v>
      </c>
      <c r="C447" s="2" t="s">
        <v>6</v>
      </c>
      <c r="D447" s="2">
        <f t="shared" si="23"/>
        <v>2025</v>
      </c>
      <c r="E447" s="2" t="str">
        <f t="shared" si="25"/>
        <v>Feb</v>
      </c>
      <c r="F447" s="3">
        <f t="shared" si="24"/>
        <v>45689</v>
      </c>
      <c r="G447" s="3" t="s">
        <v>37</v>
      </c>
      <c r="H447" s="2">
        <v>50</v>
      </c>
      <c r="I447" s="2">
        <v>47</v>
      </c>
      <c r="J447" s="2">
        <v>257</v>
      </c>
      <c r="K447" s="2">
        <v>276</v>
      </c>
    </row>
    <row r="448" spans="1:11" x14ac:dyDescent="0.25">
      <c r="A448" t="s">
        <v>32</v>
      </c>
      <c r="B448" t="s">
        <v>20</v>
      </c>
      <c r="C448" s="2" t="s">
        <v>6</v>
      </c>
      <c r="D448" s="2">
        <f t="shared" si="23"/>
        <v>2025</v>
      </c>
      <c r="E448" s="2" t="str">
        <f t="shared" si="25"/>
        <v>Mar</v>
      </c>
      <c r="F448" s="3">
        <f t="shared" si="24"/>
        <v>45717</v>
      </c>
      <c r="G448" s="3" t="s">
        <v>37</v>
      </c>
      <c r="H448" s="2">
        <v>59</v>
      </c>
      <c r="I448" s="2">
        <v>60</v>
      </c>
      <c r="J448" s="2">
        <v>259</v>
      </c>
      <c r="K448" s="2">
        <v>254</v>
      </c>
    </row>
    <row r="449" spans="1:11" x14ac:dyDescent="0.25">
      <c r="A449" t="s">
        <v>32</v>
      </c>
      <c r="B449" t="s">
        <v>20</v>
      </c>
      <c r="C449" s="2" t="s">
        <v>6</v>
      </c>
      <c r="D449" s="2">
        <f t="shared" si="23"/>
        <v>2025</v>
      </c>
      <c r="E449" s="2" t="str">
        <f t="shared" si="25"/>
        <v>Apr</v>
      </c>
      <c r="F449" s="3">
        <f t="shared" si="24"/>
        <v>45748</v>
      </c>
      <c r="G449" s="3" t="s">
        <v>37</v>
      </c>
      <c r="H449" s="2">
        <v>65</v>
      </c>
      <c r="I449" s="2">
        <v>71</v>
      </c>
      <c r="J449" s="2">
        <v>240</v>
      </c>
      <c r="K449" s="2">
        <v>240</v>
      </c>
    </row>
    <row r="450" spans="1:11" x14ac:dyDescent="0.25">
      <c r="A450" t="s">
        <v>32</v>
      </c>
      <c r="B450" t="s">
        <v>20</v>
      </c>
      <c r="C450" s="2" t="s">
        <v>6</v>
      </c>
      <c r="D450" s="2">
        <f t="shared" si="23"/>
        <v>2025</v>
      </c>
      <c r="E450" s="2" t="str">
        <f t="shared" si="25"/>
        <v>May</v>
      </c>
      <c r="F450" s="3">
        <f t="shared" si="24"/>
        <v>45778</v>
      </c>
      <c r="G450" s="3" t="s">
        <v>37</v>
      </c>
      <c r="H450" s="2">
        <v>84</v>
      </c>
      <c r="I450" s="2">
        <v>78</v>
      </c>
      <c r="J450" s="2">
        <v>258</v>
      </c>
      <c r="K450" s="2">
        <v>279</v>
      </c>
    </row>
    <row r="451" spans="1:11" x14ac:dyDescent="0.25">
      <c r="A451" t="s">
        <v>32</v>
      </c>
      <c r="B451" t="s">
        <v>20</v>
      </c>
      <c r="C451" s="2" t="s">
        <v>6</v>
      </c>
      <c r="D451" s="2">
        <f t="shared" si="23"/>
        <v>2025</v>
      </c>
      <c r="E451" s="2" t="str">
        <f t="shared" si="25"/>
        <v>Jun</v>
      </c>
      <c r="F451" s="3">
        <f t="shared" si="24"/>
        <v>45809</v>
      </c>
      <c r="G451" s="3" t="s">
        <v>37</v>
      </c>
      <c r="H451" s="2">
        <v>104</v>
      </c>
      <c r="I451" s="2">
        <v>105</v>
      </c>
      <c r="J451" s="2">
        <v>258</v>
      </c>
      <c r="K451" s="2">
        <v>277</v>
      </c>
    </row>
    <row r="452" spans="1:11" x14ac:dyDescent="0.25">
      <c r="A452" t="s">
        <v>32</v>
      </c>
      <c r="B452" t="s">
        <v>20</v>
      </c>
      <c r="C452" s="2" t="s">
        <v>6</v>
      </c>
      <c r="D452" s="2">
        <f t="shared" si="23"/>
        <v>2025</v>
      </c>
      <c r="E452" s="2" t="str">
        <f t="shared" si="25"/>
        <v>Jul</v>
      </c>
      <c r="F452" s="3">
        <f t="shared" si="24"/>
        <v>45839</v>
      </c>
      <c r="G452" s="3" t="s">
        <v>37</v>
      </c>
      <c r="H452" s="2">
        <v>65</v>
      </c>
      <c r="I452" s="2">
        <v>59</v>
      </c>
      <c r="J452" s="2">
        <v>226</v>
      </c>
      <c r="K452" s="2">
        <v>222</v>
      </c>
    </row>
    <row r="453" spans="1:11" x14ac:dyDescent="0.25">
      <c r="A453" t="s">
        <v>32</v>
      </c>
      <c r="B453" t="s">
        <v>20</v>
      </c>
      <c r="C453" s="2" t="s">
        <v>6</v>
      </c>
      <c r="D453" s="2">
        <f t="shared" si="23"/>
        <v>2025</v>
      </c>
      <c r="E453" s="2" t="str">
        <f t="shared" si="25"/>
        <v>Aug</v>
      </c>
      <c r="F453" s="3">
        <f t="shared" si="24"/>
        <v>45870</v>
      </c>
      <c r="G453" s="3" t="s">
        <v>37</v>
      </c>
      <c r="H453" s="2">
        <v>90</v>
      </c>
      <c r="I453" s="2">
        <v>93</v>
      </c>
      <c r="J453" s="2">
        <v>287</v>
      </c>
      <c r="K453" s="2">
        <v>271</v>
      </c>
    </row>
    <row r="454" spans="1:11" x14ac:dyDescent="0.25">
      <c r="A454" t="s">
        <v>32</v>
      </c>
      <c r="B454" t="s">
        <v>20</v>
      </c>
      <c r="C454" s="2" t="s">
        <v>6</v>
      </c>
      <c r="D454" s="2">
        <f t="shared" si="23"/>
        <v>2025</v>
      </c>
      <c r="E454" s="2" t="str">
        <f t="shared" si="25"/>
        <v>Sep</v>
      </c>
      <c r="F454" s="3">
        <f t="shared" si="24"/>
        <v>45901</v>
      </c>
      <c r="G454" s="3" t="s">
        <v>37</v>
      </c>
      <c r="H454" s="2">
        <v>96</v>
      </c>
      <c r="I454" s="2">
        <v>100</v>
      </c>
      <c r="J454" s="2">
        <v>186</v>
      </c>
      <c r="K454" s="2">
        <v>179</v>
      </c>
    </row>
    <row r="455" spans="1:11" x14ac:dyDescent="0.25">
      <c r="A455" t="s">
        <v>32</v>
      </c>
      <c r="B455" t="s">
        <v>20</v>
      </c>
      <c r="C455" s="2" t="s">
        <v>6</v>
      </c>
      <c r="D455" s="2">
        <f t="shared" si="23"/>
        <v>2025</v>
      </c>
      <c r="E455" s="2" t="str">
        <f t="shared" si="25"/>
        <v>Oct</v>
      </c>
      <c r="F455" s="3">
        <f t="shared" si="24"/>
        <v>45931</v>
      </c>
      <c r="G455" s="3" t="s">
        <v>37</v>
      </c>
      <c r="H455" s="2">
        <v>67</v>
      </c>
      <c r="I455" s="2">
        <v>63</v>
      </c>
      <c r="J455" s="2">
        <v>200</v>
      </c>
      <c r="K455" s="2">
        <v>206</v>
      </c>
    </row>
    <row r="456" spans="1:11" x14ac:dyDescent="0.25">
      <c r="A456" t="s">
        <v>32</v>
      </c>
      <c r="B456" t="s">
        <v>20</v>
      </c>
      <c r="C456" s="2" t="s">
        <v>6</v>
      </c>
      <c r="D456" s="2">
        <f t="shared" si="23"/>
        <v>2025</v>
      </c>
      <c r="E456" s="2" t="str">
        <f t="shared" si="25"/>
        <v>Nov</v>
      </c>
      <c r="F456" s="3">
        <f t="shared" si="24"/>
        <v>45962</v>
      </c>
      <c r="G456" s="3" t="s">
        <v>37</v>
      </c>
      <c r="H456" s="2">
        <v>72</v>
      </c>
      <c r="I456" s="2">
        <v>68</v>
      </c>
      <c r="J456" s="2">
        <v>240</v>
      </c>
      <c r="K456" s="2">
        <v>257</v>
      </c>
    </row>
    <row r="457" spans="1:11" x14ac:dyDescent="0.25">
      <c r="A457" t="s">
        <v>32</v>
      </c>
      <c r="B457" t="s">
        <v>20</v>
      </c>
      <c r="C457" s="2" t="s">
        <v>6</v>
      </c>
      <c r="D457" s="2">
        <f t="shared" si="23"/>
        <v>2025</v>
      </c>
      <c r="E457" s="2" t="str">
        <f t="shared" si="25"/>
        <v>Dec</v>
      </c>
      <c r="F457" s="3">
        <f t="shared" si="24"/>
        <v>45992</v>
      </c>
      <c r="G457" s="3" t="s">
        <v>37</v>
      </c>
      <c r="H457" s="2">
        <v>92</v>
      </c>
      <c r="I457" s="2">
        <v>94</v>
      </c>
      <c r="J457" s="2">
        <v>184</v>
      </c>
      <c r="K457" s="2">
        <v>177</v>
      </c>
    </row>
    <row r="458" spans="1:11" x14ac:dyDescent="0.25">
      <c r="A458" t="s">
        <v>32</v>
      </c>
      <c r="B458" t="s">
        <v>20</v>
      </c>
      <c r="C458" s="2" t="s">
        <v>6</v>
      </c>
      <c r="D458" s="2">
        <f t="shared" si="23"/>
        <v>2026</v>
      </c>
      <c r="E458" s="2" t="str">
        <f t="shared" si="25"/>
        <v>Jan</v>
      </c>
      <c r="F458" s="3">
        <f t="shared" si="24"/>
        <v>46023</v>
      </c>
      <c r="G458" s="3" t="s">
        <v>37</v>
      </c>
      <c r="H458" s="2">
        <v>96</v>
      </c>
      <c r="I458" s="2">
        <v>101</v>
      </c>
      <c r="J458" s="2">
        <v>272</v>
      </c>
      <c r="K458" s="2">
        <v>270</v>
      </c>
    </row>
    <row r="459" spans="1:11" x14ac:dyDescent="0.25">
      <c r="A459" t="s">
        <v>32</v>
      </c>
      <c r="B459" t="s">
        <v>20</v>
      </c>
      <c r="C459" s="2" t="s">
        <v>6</v>
      </c>
      <c r="D459" s="2">
        <f t="shared" si="23"/>
        <v>2026</v>
      </c>
      <c r="E459" s="2" t="str">
        <f t="shared" si="25"/>
        <v>Feb</v>
      </c>
      <c r="F459" s="3">
        <f t="shared" si="24"/>
        <v>46054</v>
      </c>
      <c r="G459" s="3" t="s">
        <v>37</v>
      </c>
      <c r="H459" s="2">
        <v>74</v>
      </c>
      <c r="I459" s="2">
        <v>78</v>
      </c>
      <c r="J459" s="2">
        <v>234</v>
      </c>
      <c r="K459" s="2">
        <v>232</v>
      </c>
    </row>
    <row r="460" spans="1:11" x14ac:dyDescent="0.25">
      <c r="A460" t="s">
        <v>32</v>
      </c>
      <c r="B460" t="s">
        <v>20</v>
      </c>
      <c r="C460" s="2" t="s">
        <v>6</v>
      </c>
      <c r="D460" s="2">
        <f t="shared" si="23"/>
        <v>2026</v>
      </c>
      <c r="E460" s="2" t="str">
        <f t="shared" si="25"/>
        <v>Mar</v>
      </c>
      <c r="F460" s="3">
        <f t="shared" si="24"/>
        <v>46082</v>
      </c>
      <c r="G460" s="3" t="s">
        <v>37</v>
      </c>
      <c r="H460" s="2">
        <v>56</v>
      </c>
      <c r="I460" s="2">
        <v>51</v>
      </c>
      <c r="J460" s="2">
        <v>253</v>
      </c>
      <c r="K460" s="2">
        <v>259</v>
      </c>
    </row>
    <row r="461" spans="1:11" x14ac:dyDescent="0.25">
      <c r="A461" t="s">
        <v>32</v>
      </c>
      <c r="B461" t="s">
        <v>20</v>
      </c>
      <c r="C461" s="2" t="s">
        <v>6</v>
      </c>
      <c r="D461" s="2">
        <f t="shared" si="23"/>
        <v>2026</v>
      </c>
      <c r="E461" s="2" t="str">
        <f t="shared" si="25"/>
        <v>Apr</v>
      </c>
      <c r="F461" s="3">
        <f t="shared" si="24"/>
        <v>46113</v>
      </c>
      <c r="G461" s="3" t="s">
        <v>37</v>
      </c>
      <c r="H461" s="2">
        <v>50</v>
      </c>
      <c r="I461" s="2">
        <v>45</v>
      </c>
      <c r="J461" s="2">
        <v>209</v>
      </c>
      <c r="K461" s="2">
        <v>221</v>
      </c>
    </row>
    <row r="462" spans="1:11" x14ac:dyDescent="0.25">
      <c r="A462" t="s">
        <v>32</v>
      </c>
      <c r="B462" t="s">
        <v>20</v>
      </c>
      <c r="C462" s="2" t="s">
        <v>6</v>
      </c>
      <c r="D462" s="2">
        <f t="shared" si="23"/>
        <v>2026</v>
      </c>
      <c r="E462" s="2" t="str">
        <f t="shared" si="25"/>
        <v>May</v>
      </c>
      <c r="F462" s="3">
        <f t="shared" si="24"/>
        <v>46143</v>
      </c>
      <c r="G462" s="3" t="s">
        <v>37</v>
      </c>
      <c r="H462" s="2">
        <v>52</v>
      </c>
      <c r="I462" s="2">
        <v>49</v>
      </c>
      <c r="J462" s="2">
        <v>181</v>
      </c>
      <c r="K462" s="2">
        <v>178</v>
      </c>
    </row>
    <row r="463" spans="1:11" x14ac:dyDescent="0.25">
      <c r="A463" t="s">
        <v>32</v>
      </c>
      <c r="B463" t="s">
        <v>20</v>
      </c>
      <c r="C463" s="2" t="s">
        <v>6</v>
      </c>
      <c r="D463" s="2">
        <f t="shared" si="23"/>
        <v>2026</v>
      </c>
      <c r="E463" s="2" t="str">
        <f t="shared" si="25"/>
        <v>Jun</v>
      </c>
      <c r="F463" s="3">
        <f t="shared" si="24"/>
        <v>46174</v>
      </c>
      <c r="G463" s="3" t="s">
        <v>37</v>
      </c>
      <c r="H463" s="2">
        <v>65</v>
      </c>
      <c r="I463" s="2">
        <v>68</v>
      </c>
      <c r="J463" s="2">
        <v>233</v>
      </c>
      <c r="K463" s="2">
        <v>230</v>
      </c>
    </row>
    <row r="464" spans="1:11" x14ac:dyDescent="0.25">
      <c r="A464" t="s">
        <v>32</v>
      </c>
      <c r="B464" t="s">
        <v>20</v>
      </c>
      <c r="C464" s="2" t="s">
        <v>6</v>
      </c>
      <c r="D464" s="2">
        <f t="shared" si="23"/>
        <v>2026</v>
      </c>
      <c r="E464" s="2" t="str">
        <f t="shared" si="25"/>
        <v>Jul</v>
      </c>
      <c r="F464" s="3">
        <f t="shared" si="24"/>
        <v>46204</v>
      </c>
      <c r="G464" s="3" t="s">
        <v>37</v>
      </c>
      <c r="H464" s="2">
        <v>59</v>
      </c>
      <c r="I464" s="2">
        <v>64</v>
      </c>
      <c r="J464" s="2">
        <v>253</v>
      </c>
      <c r="K464" s="2">
        <v>264</v>
      </c>
    </row>
    <row r="465" spans="1:11" x14ac:dyDescent="0.25">
      <c r="A465" t="s">
        <v>32</v>
      </c>
      <c r="B465" t="s">
        <v>20</v>
      </c>
      <c r="C465" s="2" t="s">
        <v>6</v>
      </c>
      <c r="D465" s="2">
        <f t="shared" si="23"/>
        <v>2026</v>
      </c>
      <c r="E465" s="2" t="str">
        <f t="shared" si="25"/>
        <v>Aug</v>
      </c>
      <c r="F465" s="3">
        <f t="shared" si="24"/>
        <v>46235</v>
      </c>
      <c r="G465" s="3" t="s">
        <v>37</v>
      </c>
      <c r="H465" s="2">
        <v>47</v>
      </c>
      <c r="I465" s="2">
        <v>42</v>
      </c>
      <c r="J465" s="2">
        <v>239</v>
      </c>
      <c r="K465" s="2">
        <v>257</v>
      </c>
    </row>
    <row r="466" spans="1:11" x14ac:dyDescent="0.25">
      <c r="A466" t="s">
        <v>32</v>
      </c>
      <c r="B466" t="s">
        <v>20</v>
      </c>
      <c r="C466" s="2" t="s">
        <v>6</v>
      </c>
      <c r="D466" s="2">
        <f t="shared" si="23"/>
        <v>2026</v>
      </c>
      <c r="E466" s="2" t="str">
        <f t="shared" si="25"/>
        <v>Sep</v>
      </c>
      <c r="F466" s="3">
        <f t="shared" si="24"/>
        <v>46266</v>
      </c>
      <c r="G466" s="3" t="s">
        <v>37</v>
      </c>
      <c r="H466" s="2">
        <v>50</v>
      </c>
      <c r="I466" s="2">
        <v>48</v>
      </c>
      <c r="J466" s="2">
        <v>195</v>
      </c>
      <c r="K466" s="2">
        <v>183</v>
      </c>
    </row>
    <row r="467" spans="1:11" x14ac:dyDescent="0.25">
      <c r="A467" t="s">
        <v>32</v>
      </c>
      <c r="B467" t="s">
        <v>20</v>
      </c>
      <c r="C467" s="2" t="s">
        <v>6</v>
      </c>
      <c r="D467" s="2">
        <f t="shared" si="23"/>
        <v>2026</v>
      </c>
      <c r="E467" s="2" t="str">
        <f t="shared" si="25"/>
        <v>Oct</v>
      </c>
      <c r="F467" s="3">
        <f t="shared" si="24"/>
        <v>46296</v>
      </c>
      <c r="G467" s="3" t="s">
        <v>37</v>
      </c>
      <c r="H467" s="2">
        <v>60</v>
      </c>
      <c r="I467" s="2">
        <v>65</v>
      </c>
      <c r="J467" s="2">
        <v>248</v>
      </c>
      <c r="K467" s="2">
        <v>259</v>
      </c>
    </row>
    <row r="468" spans="1:11" x14ac:dyDescent="0.25">
      <c r="A468" t="s">
        <v>32</v>
      </c>
      <c r="B468" t="s">
        <v>20</v>
      </c>
      <c r="C468" s="2" t="s">
        <v>6</v>
      </c>
      <c r="D468" s="2">
        <f t="shared" si="23"/>
        <v>2026</v>
      </c>
      <c r="E468" s="2" t="str">
        <f t="shared" si="25"/>
        <v>Nov</v>
      </c>
      <c r="F468" s="3">
        <f t="shared" si="24"/>
        <v>46327</v>
      </c>
      <c r="G468" s="3" t="s">
        <v>37</v>
      </c>
      <c r="H468" s="2">
        <v>62</v>
      </c>
      <c r="I468" s="2">
        <v>61</v>
      </c>
      <c r="J468" s="2">
        <v>273</v>
      </c>
      <c r="K468" s="2">
        <v>261</v>
      </c>
    </row>
    <row r="469" spans="1:11" x14ac:dyDescent="0.25">
      <c r="A469" t="s">
        <v>32</v>
      </c>
      <c r="B469" t="s">
        <v>20</v>
      </c>
      <c r="C469" s="2" t="s">
        <v>6</v>
      </c>
      <c r="D469" s="2">
        <f t="shared" si="23"/>
        <v>2026</v>
      </c>
      <c r="E469" s="2" t="str">
        <f t="shared" si="25"/>
        <v>Dec</v>
      </c>
      <c r="F469" s="3">
        <f t="shared" si="24"/>
        <v>46357</v>
      </c>
      <c r="G469" s="3" t="s">
        <v>37</v>
      </c>
      <c r="H469" s="2">
        <v>52</v>
      </c>
      <c r="I469" s="2">
        <v>57</v>
      </c>
      <c r="J469" s="2">
        <v>245</v>
      </c>
      <c r="K469" s="2">
        <v>230</v>
      </c>
    </row>
    <row r="470" spans="1:11" x14ac:dyDescent="0.25">
      <c r="A470" t="s">
        <v>32</v>
      </c>
      <c r="B470" t="s">
        <v>20</v>
      </c>
      <c r="C470" s="2" t="s">
        <v>6</v>
      </c>
      <c r="D470" s="2">
        <f t="shared" si="23"/>
        <v>2027</v>
      </c>
      <c r="E470" s="2" t="str">
        <f t="shared" si="25"/>
        <v>Jan</v>
      </c>
      <c r="F470" s="3">
        <f t="shared" si="24"/>
        <v>46388</v>
      </c>
      <c r="G470" s="3" t="s">
        <v>37</v>
      </c>
      <c r="H470" s="2">
        <v>96</v>
      </c>
      <c r="I470" s="2">
        <v>101</v>
      </c>
      <c r="J470" s="2">
        <v>272</v>
      </c>
      <c r="K470" s="2">
        <v>270</v>
      </c>
    </row>
    <row r="471" spans="1:11" x14ac:dyDescent="0.25">
      <c r="A471" t="s">
        <v>32</v>
      </c>
      <c r="B471" t="s">
        <v>20</v>
      </c>
      <c r="C471" s="2" t="s">
        <v>6</v>
      </c>
      <c r="D471" s="2">
        <f t="shared" si="23"/>
        <v>2027</v>
      </c>
      <c r="E471" s="2" t="str">
        <f t="shared" si="25"/>
        <v>Feb</v>
      </c>
      <c r="F471" s="3">
        <f t="shared" si="24"/>
        <v>46419</v>
      </c>
      <c r="G471" s="3" t="s">
        <v>37</v>
      </c>
      <c r="H471" s="2">
        <v>74</v>
      </c>
      <c r="I471" s="2">
        <v>78</v>
      </c>
      <c r="J471" s="2">
        <v>234</v>
      </c>
      <c r="K471" s="2">
        <v>232</v>
      </c>
    </row>
    <row r="472" spans="1:11" x14ac:dyDescent="0.25">
      <c r="A472" t="s">
        <v>32</v>
      </c>
      <c r="B472" t="s">
        <v>20</v>
      </c>
      <c r="C472" s="2" t="s">
        <v>6</v>
      </c>
      <c r="D472" s="2">
        <f t="shared" si="23"/>
        <v>2027</v>
      </c>
      <c r="E472" s="2" t="str">
        <f t="shared" si="25"/>
        <v>Mar</v>
      </c>
      <c r="F472" s="3">
        <f t="shared" si="24"/>
        <v>46447</v>
      </c>
      <c r="G472" s="3" t="s">
        <v>37</v>
      </c>
      <c r="H472" s="2">
        <v>56</v>
      </c>
      <c r="I472" s="2">
        <v>51</v>
      </c>
      <c r="J472" s="2">
        <v>253</v>
      </c>
      <c r="K472" s="2">
        <v>259</v>
      </c>
    </row>
    <row r="473" spans="1:11" x14ac:dyDescent="0.25">
      <c r="A473" t="s">
        <v>32</v>
      </c>
      <c r="B473" t="s">
        <v>20</v>
      </c>
      <c r="C473" s="2" t="s">
        <v>6</v>
      </c>
      <c r="D473" s="2">
        <f t="shared" si="23"/>
        <v>2027</v>
      </c>
      <c r="E473" s="2" t="str">
        <f t="shared" si="25"/>
        <v>Apr</v>
      </c>
      <c r="F473" s="3">
        <f t="shared" si="24"/>
        <v>46478</v>
      </c>
      <c r="G473" s="3" t="s">
        <v>37</v>
      </c>
      <c r="H473" s="2">
        <v>50</v>
      </c>
      <c r="I473" s="2">
        <v>45</v>
      </c>
      <c r="J473" s="2">
        <v>209</v>
      </c>
      <c r="K473" s="2">
        <v>221</v>
      </c>
    </row>
    <row r="474" spans="1:11" x14ac:dyDescent="0.25">
      <c r="A474" t="s">
        <v>32</v>
      </c>
      <c r="B474" t="s">
        <v>20</v>
      </c>
      <c r="C474" s="2" t="s">
        <v>6</v>
      </c>
      <c r="D474" s="2">
        <f t="shared" si="23"/>
        <v>2027</v>
      </c>
      <c r="E474" s="2" t="str">
        <f t="shared" si="25"/>
        <v>May</v>
      </c>
      <c r="F474" s="3">
        <f t="shared" si="24"/>
        <v>46508</v>
      </c>
      <c r="G474" s="3" t="s">
        <v>37</v>
      </c>
      <c r="H474" s="2">
        <v>52</v>
      </c>
      <c r="I474" s="2">
        <v>49</v>
      </c>
      <c r="J474" s="2">
        <v>181</v>
      </c>
      <c r="K474" s="2">
        <v>178</v>
      </c>
    </row>
    <row r="475" spans="1:11" x14ac:dyDescent="0.25">
      <c r="A475" t="s">
        <v>32</v>
      </c>
      <c r="B475" t="s">
        <v>20</v>
      </c>
      <c r="C475" s="2" t="s">
        <v>6</v>
      </c>
      <c r="D475" s="2">
        <f t="shared" si="23"/>
        <v>2027</v>
      </c>
      <c r="E475" s="2" t="str">
        <f t="shared" si="25"/>
        <v>Jun</v>
      </c>
      <c r="F475" s="3">
        <f t="shared" si="24"/>
        <v>46539</v>
      </c>
      <c r="G475" s="3" t="s">
        <v>37</v>
      </c>
      <c r="H475" s="2">
        <v>65</v>
      </c>
      <c r="I475" s="2">
        <v>68</v>
      </c>
      <c r="J475" s="2">
        <v>233</v>
      </c>
      <c r="K475" s="2">
        <v>230</v>
      </c>
    </row>
    <row r="476" spans="1:11" x14ac:dyDescent="0.25">
      <c r="A476" t="s">
        <v>32</v>
      </c>
      <c r="B476" t="s">
        <v>20</v>
      </c>
      <c r="C476" s="2" t="s">
        <v>6</v>
      </c>
      <c r="D476" s="2">
        <f t="shared" si="23"/>
        <v>2027</v>
      </c>
      <c r="E476" s="2" t="str">
        <f t="shared" si="25"/>
        <v>Jul</v>
      </c>
      <c r="F476" s="3">
        <f t="shared" si="24"/>
        <v>46569</v>
      </c>
      <c r="G476" s="3" t="s">
        <v>37</v>
      </c>
      <c r="H476" s="2">
        <v>59</v>
      </c>
      <c r="I476" s="2">
        <v>64</v>
      </c>
      <c r="J476" s="2">
        <v>253</v>
      </c>
      <c r="K476" s="2">
        <v>264</v>
      </c>
    </row>
    <row r="477" spans="1:11" x14ac:dyDescent="0.25">
      <c r="A477" t="s">
        <v>32</v>
      </c>
      <c r="B477" t="s">
        <v>20</v>
      </c>
      <c r="C477" s="2" t="s">
        <v>6</v>
      </c>
      <c r="D477" s="2">
        <f t="shared" si="23"/>
        <v>2027</v>
      </c>
      <c r="E477" s="2" t="str">
        <f t="shared" si="25"/>
        <v>Aug</v>
      </c>
      <c r="F477" s="3">
        <f t="shared" si="24"/>
        <v>46600</v>
      </c>
      <c r="G477" s="3" t="s">
        <v>37</v>
      </c>
      <c r="H477" s="2">
        <v>47</v>
      </c>
      <c r="I477" s="2">
        <v>42</v>
      </c>
      <c r="J477" s="2">
        <v>239</v>
      </c>
      <c r="K477" s="2">
        <v>257</v>
      </c>
    </row>
    <row r="478" spans="1:11" x14ac:dyDescent="0.25">
      <c r="A478" t="s">
        <v>32</v>
      </c>
      <c r="B478" t="s">
        <v>20</v>
      </c>
      <c r="C478" s="2" t="s">
        <v>6</v>
      </c>
      <c r="D478" s="2">
        <f t="shared" si="23"/>
        <v>2027</v>
      </c>
      <c r="E478" s="2" t="str">
        <f t="shared" si="25"/>
        <v>Sep</v>
      </c>
      <c r="F478" s="3">
        <f t="shared" si="24"/>
        <v>46631</v>
      </c>
      <c r="G478" s="3" t="s">
        <v>37</v>
      </c>
      <c r="H478" s="2">
        <v>50</v>
      </c>
      <c r="I478" s="2">
        <v>48</v>
      </c>
      <c r="J478" s="2">
        <v>195</v>
      </c>
      <c r="K478" s="2">
        <v>183</v>
      </c>
    </row>
    <row r="479" spans="1:11" x14ac:dyDescent="0.25">
      <c r="A479" t="s">
        <v>32</v>
      </c>
      <c r="B479" t="s">
        <v>20</v>
      </c>
      <c r="C479" s="2" t="s">
        <v>6</v>
      </c>
      <c r="D479" s="2">
        <f t="shared" si="23"/>
        <v>2027</v>
      </c>
      <c r="E479" s="2" t="str">
        <f t="shared" si="25"/>
        <v>Oct</v>
      </c>
      <c r="F479" s="3">
        <f t="shared" si="24"/>
        <v>46661</v>
      </c>
      <c r="G479" s="3" t="s">
        <v>37</v>
      </c>
      <c r="H479" s="2">
        <v>60</v>
      </c>
      <c r="I479" s="2">
        <v>65</v>
      </c>
      <c r="J479" s="2">
        <v>248</v>
      </c>
      <c r="K479" s="2">
        <v>259</v>
      </c>
    </row>
    <row r="480" spans="1:11" x14ac:dyDescent="0.25">
      <c r="A480" t="s">
        <v>32</v>
      </c>
      <c r="B480" t="s">
        <v>20</v>
      </c>
      <c r="C480" s="2" t="s">
        <v>6</v>
      </c>
      <c r="D480" s="2">
        <f t="shared" si="23"/>
        <v>2027</v>
      </c>
      <c r="E480" s="2" t="str">
        <f t="shared" si="25"/>
        <v>Nov</v>
      </c>
      <c r="F480" s="3">
        <f t="shared" si="24"/>
        <v>46692</v>
      </c>
      <c r="G480" s="3" t="s">
        <v>37</v>
      </c>
      <c r="H480" s="2">
        <v>62</v>
      </c>
      <c r="I480" s="2">
        <v>61</v>
      </c>
      <c r="J480" s="2">
        <v>273</v>
      </c>
      <c r="K480" s="2">
        <v>261</v>
      </c>
    </row>
    <row r="481" spans="1:11" x14ac:dyDescent="0.25">
      <c r="A481" t="s">
        <v>32</v>
      </c>
      <c r="B481" t="s">
        <v>20</v>
      </c>
      <c r="C481" s="2" t="s">
        <v>6</v>
      </c>
      <c r="D481" s="2">
        <f t="shared" si="23"/>
        <v>2027</v>
      </c>
      <c r="E481" s="2" t="str">
        <f t="shared" si="25"/>
        <v>Dec</v>
      </c>
      <c r="F481" s="3">
        <f t="shared" si="24"/>
        <v>46722</v>
      </c>
      <c r="G481" s="3" t="s">
        <v>37</v>
      </c>
      <c r="H481" s="2">
        <v>52</v>
      </c>
      <c r="I481" s="2">
        <v>57</v>
      </c>
      <c r="J481" s="2">
        <v>245</v>
      </c>
      <c r="K481" s="2">
        <v>230</v>
      </c>
    </row>
    <row r="482" spans="1:11" x14ac:dyDescent="0.25">
      <c r="A482" t="s">
        <v>33</v>
      </c>
      <c r="B482" t="s">
        <v>20</v>
      </c>
      <c r="C482" s="2" t="s">
        <v>5</v>
      </c>
      <c r="D482" s="2">
        <f>YEAR(F482)</f>
        <v>2023</v>
      </c>
      <c r="E482" s="2" t="str">
        <f>TEXT(F482,"mmm")</f>
        <v>Jan</v>
      </c>
      <c r="F482" s="3">
        <v>44927</v>
      </c>
      <c r="G482" s="3" t="s">
        <v>37</v>
      </c>
      <c r="H482" s="2">
        <v>60</v>
      </c>
      <c r="I482" s="2">
        <v>58</v>
      </c>
      <c r="J482" s="2">
        <v>183</v>
      </c>
      <c r="K482" s="2">
        <v>176</v>
      </c>
    </row>
    <row r="483" spans="1:11" x14ac:dyDescent="0.25">
      <c r="A483" t="s">
        <v>33</v>
      </c>
      <c r="B483" t="s">
        <v>20</v>
      </c>
      <c r="C483" s="2" t="s">
        <v>5</v>
      </c>
      <c r="D483" s="2">
        <f t="shared" ref="D483:D541" si="26">YEAR(F483)</f>
        <v>2023</v>
      </c>
      <c r="E483" s="2" t="str">
        <f t="shared" ref="E483:E541" si="27">TEXT(F483,"mmm")</f>
        <v>Feb</v>
      </c>
      <c r="F483" s="3">
        <f>EOMONTH(F482,0)+1</f>
        <v>44958</v>
      </c>
      <c r="G483" s="3" t="s">
        <v>37</v>
      </c>
      <c r="H483" s="2">
        <v>69</v>
      </c>
      <c r="I483" s="2">
        <v>66</v>
      </c>
      <c r="J483" s="2">
        <v>281</v>
      </c>
      <c r="K483" s="2">
        <v>277</v>
      </c>
    </row>
    <row r="484" spans="1:11" x14ac:dyDescent="0.25">
      <c r="A484" t="s">
        <v>33</v>
      </c>
      <c r="B484" t="s">
        <v>20</v>
      </c>
      <c r="C484" s="2" t="s">
        <v>5</v>
      </c>
      <c r="D484" s="2">
        <f t="shared" si="26"/>
        <v>2023</v>
      </c>
      <c r="E484" s="2" t="str">
        <f t="shared" si="27"/>
        <v>Mar</v>
      </c>
      <c r="F484" s="3">
        <f t="shared" ref="F484:F541" si="28">EOMONTH(F483,0)+1</f>
        <v>44986</v>
      </c>
      <c r="G484" s="3" t="s">
        <v>37</v>
      </c>
      <c r="H484" s="2">
        <v>42</v>
      </c>
      <c r="I484" s="2">
        <v>43</v>
      </c>
      <c r="J484" s="2">
        <v>280</v>
      </c>
      <c r="K484" s="2">
        <v>294</v>
      </c>
    </row>
    <row r="485" spans="1:11" x14ac:dyDescent="0.25">
      <c r="A485" t="s">
        <v>33</v>
      </c>
      <c r="B485" t="s">
        <v>20</v>
      </c>
      <c r="C485" s="2" t="s">
        <v>5</v>
      </c>
      <c r="D485" s="2">
        <f t="shared" si="26"/>
        <v>2023</v>
      </c>
      <c r="E485" s="2" t="str">
        <f t="shared" si="27"/>
        <v>Apr</v>
      </c>
      <c r="F485" s="3">
        <f t="shared" si="28"/>
        <v>45017</v>
      </c>
      <c r="G485" s="3" t="s">
        <v>37</v>
      </c>
      <c r="H485" s="2">
        <v>59</v>
      </c>
      <c r="I485" s="2">
        <v>61</v>
      </c>
      <c r="J485" s="2">
        <v>232</v>
      </c>
      <c r="K485" s="2">
        <v>230</v>
      </c>
    </row>
    <row r="486" spans="1:11" x14ac:dyDescent="0.25">
      <c r="A486" t="s">
        <v>33</v>
      </c>
      <c r="B486" t="s">
        <v>20</v>
      </c>
      <c r="C486" s="2" t="s">
        <v>5</v>
      </c>
      <c r="D486" s="2">
        <f t="shared" si="26"/>
        <v>2023</v>
      </c>
      <c r="E486" s="2" t="str">
        <f t="shared" si="27"/>
        <v>May</v>
      </c>
      <c r="F486" s="3">
        <f t="shared" si="28"/>
        <v>45047</v>
      </c>
      <c r="G486" s="3" t="s">
        <v>37</v>
      </c>
      <c r="H486" s="2">
        <v>84</v>
      </c>
      <c r="I486" s="2">
        <v>84</v>
      </c>
      <c r="J486" s="2">
        <v>203</v>
      </c>
      <c r="K486" s="2">
        <v>198</v>
      </c>
    </row>
    <row r="487" spans="1:11" x14ac:dyDescent="0.25">
      <c r="A487" t="s">
        <v>33</v>
      </c>
      <c r="B487" t="s">
        <v>20</v>
      </c>
      <c r="C487" s="2" t="s">
        <v>5</v>
      </c>
      <c r="D487" s="2">
        <f t="shared" si="26"/>
        <v>2023</v>
      </c>
      <c r="E487" s="2" t="str">
        <f t="shared" si="27"/>
        <v>Jun</v>
      </c>
      <c r="F487" s="3">
        <f t="shared" si="28"/>
        <v>45078</v>
      </c>
      <c r="G487" s="3" t="s">
        <v>37</v>
      </c>
      <c r="H487" s="2">
        <v>93</v>
      </c>
      <c r="I487" s="2">
        <v>101</v>
      </c>
      <c r="J487" s="2">
        <v>276</v>
      </c>
      <c r="K487" s="2">
        <v>287</v>
      </c>
    </row>
    <row r="488" spans="1:11" x14ac:dyDescent="0.25">
      <c r="A488" t="s">
        <v>33</v>
      </c>
      <c r="B488" t="s">
        <v>20</v>
      </c>
      <c r="C488" s="2" t="s">
        <v>5</v>
      </c>
      <c r="D488" s="2">
        <f t="shared" si="26"/>
        <v>2023</v>
      </c>
      <c r="E488" s="2" t="str">
        <f t="shared" si="27"/>
        <v>Jul</v>
      </c>
      <c r="F488" s="3">
        <f t="shared" si="28"/>
        <v>45108</v>
      </c>
      <c r="G488" s="3" t="s">
        <v>37</v>
      </c>
      <c r="H488" s="2">
        <v>93</v>
      </c>
      <c r="I488" s="2">
        <v>94</v>
      </c>
      <c r="J488" s="2">
        <v>214</v>
      </c>
      <c r="K488" s="2">
        <v>229</v>
      </c>
    </row>
    <row r="489" spans="1:11" x14ac:dyDescent="0.25">
      <c r="A489" t="s">
        <v>33</v>
      </c>
      <c r="B489" t="s">
        <v>20</v>
      </c>
      <c r="C489" s="2" t="s">
        <v>5</v>
      </c>
      <c r="D489" s="2">
        <f t="shared" si="26"/>
        <v>2023</v>
      </c>
      <c r="E489" s="2" t="str">
        <f t="shared" si="27"/>
        <v>Aug</v>
      </c>
      <c r="F489" s="3">
        <f t="shared" si="28"/>
        <v>45139</v>
      </c>
      <c r="G489" s="3" t="s">
        <v>37</v>
      </c>
      <c r="H489" s="2">
        <v>94</v>
      </c>
      <c r="I489" s="2">
        <v>96</v>
      </c>
      <c r="J489" s="2">
        <v>298</v>
      </c>
      <c r="K489" s="2">
        <v>302</v>
      </c>
    </row>
    <row r="490" spans="1:11" x14ac:dyDescent="0.25">
      <c r="A490" t="s">
        <v>33</v>
      </c>
      <c r="B490" t="s">
        <v>20</v>
      </c>
      <c r="C490" s="2" t="s">
        <v>5</v>
      </c>
      <c r="D490" s="2">
        <f t="shared" si="26"/>
        <v>2023</v>
      </c>
      <c r="E490" s="2" t="str">
        <f t="shared" si="27"/>
        <v>Sep</v>
      </c>
      <c r="F490" s="3">
        <f t="shared" si="28"/>
        <v>45170</v>
      </c>
      <c r="G490" s="3" t="s">
        <v>37</v>
      </c>
      <c r="H490" s="2">
        <v>95</v>
      </c>
      <c r="I490" s="2">
        <v>95</v>
      </c>
      <c r="J490" s="2">
        <v>292</v>
      </c>
      <c r="K490" s="2">
        <v>273</v>
      </c>
    </row>
    <row r="491" spans="1:11" x14ac:dyDescent="0.25">
      <c r="A491" t="s">
        <v>33</v>
      </c>
      <c r="B491" t="s">
        <v>20</v>
      </c>
      <c r="C491" s="2" t="s">
        <v>5</v>
      </c>
      <c r="D491" s="2">
        <f t="shared" si="26"/>
        <v>2023</v>
      </c>
      <c r="E491" s="2" t="str">
        <f t="shared" si="27"/>
        <v>Oct</v>
      </c>
      <c r="F491" s="3">
        <f t="shared" si="28"/>
        <v>45200</v>
      </c>
      <c r="G491" s="3" t="s">
        <v>37</v>
      </c>
      <c r="H491" s="2">
        <v>102</v>
      </c>
      <c r="I491" s="2">
        <v>94</v>
      </c>
      <c r="J491" s="2">
        <v>239</v>
      </c>
      <c r="K491" s="2">
        <v>228</v>
      </c>
    </row>
    <row r="492" spans="1:11" x14ac:dyDescent="0.25">
      <c r="A492" t="s">
        <v>33</v>
      </c>
      <c r="B492" t="s">
        <v>20</v>
      </c>
      <c r="C492" s="2" t="s">
        <v>5</v>
      </c>
      <c r="D492" s="2">
        <f t="shared" si="26"/>
        <v>2023</v>
      </c>
      <c r="E492" s="2" t="str">
        <f t="shared" si="27"/>
        <v>Nov</v>
      </c>
      <c r="F492" s="3">
        <f t="shared" si="28"/>
        <v>45231</v>
      </c>
      <c r="G492" s="3" t="s">
        <v>37</v>
      </c>
      <c r="H492" s="2">
        <v>61</v>
      </c>
      <c r="I492" s="2">
        <v>60</v>
      </c>
      <c r="J492" s="2">
        <v>238</v>
      </c>
      <c r="K492" s="2">
        <v>231</v>
      </c>
    </row>
    <row r="493" spans="1:11" x14ac:dyDescent="0.25">
      <c r="A493" t="s">
        <v>33</v>
      </c>
      <c r="B493" t="s">
        <v>20</v>
      </c>
      <c r="C493" s="2" t="s">
        <v>5</v>
      </c>
      <c r="D493" s="2">
        <f t="shared" si="26"/>
        <v>2023</v>
      </c>
      <c r="E493" s="2" t="str">
        <f t="shared" si="27"/>
        <v>Dec</v>
      </c>
      <c r="F493" s="3">
        <f t="shared" si="28"/>
        <v>45261</v>
      </c>
      <c r="G493" s="3" t="s">
        <v>37</v>
      </c>
      <c r="H493" s="2">
        <v>105</v>
      </c>
      <c r="I493" s="2">
        <v>95</v>
      </c>
      <c r="J493" s="2">
        <v>277</v>
      </c>
      <c r="K493" s="2">
        <v>274</v>
      </c>
    </row>
    <row r="494" spans="1:11" x14ac:dyDescent="0.25">
      <c r="A494" t="s">
        <v>33</v>
      </c>
      <c r="B494" t="s">
        <v>20</v>
      </c>
      <c r="C494" s="2" t="s">
        <v>5</v>
      </c>
      <c r="D494" s="2">
        <f t="shared" si="26"/>
        <v>2024</v>
      </c>
      <c r="E494" s="2" t="str">
        <f t="shared" si="27"/>
        <v>Jan</v>
      </c>
      <c r="F494" s="3">
        <f t="shared" si="28"/>
        <v>45292</v>
      </c>
      <c r="G494" s="3" t="s">
        <v>37</v>
      </c>
      <c r="H494" s="2">
        <v>68</v>
      </c>
      <c r="I494" s="2">
        <v>67</v>
      </c>
      <c r="J494" s="2">
        <v>197</v>
      </c>
      <c r="K494" s="2">
        <v>199</v>
      </c>
    </row>
    <row r="495" spans="1:11" x14ac:dyDescent="0.25">
      <c r="A495" t="s">
        <v>33</v>
      </c>
      <c r="B495" t="s">
        <v>20</v>
      </c>
      <c r="C495" s="2" t="s">
        <v>5</v>
      </c>
      <c r="D495" s="2">
        <f t="shared" si="26"/>
        <v>2024</v>
      </c>
      <c r="E495" s="2" t="str">
        <f t="shared" si="27"/>
        <v>Feb</v>
      </c>
      <c r="F495" s="3">
        <f t="shared" si="28"/>
        <v>45323</v>
      </c>
      <c r="G495" s="3" t="s">
        <v>37</v>
      </c>
      <c r="H495" s="2">
        <v>65</v>
      </c>
      <c r="I495" s="2">
        <v>66</v>
      </c>
      <c r="J495" s="2">
        <v>262</v>
      </c>
      <c r="K495" s="2">
        <v>267</v>
      </c>
    </row>
    <row r="496" spans="1:11" x14ac:dyDescent="0.25">
      <c r="A496" t="s">
        <v>33</v>
      </c>
      <c r="B496" t="s">
        <v>20</v>
      </c>
      <c r="C496" s="2" t="s">
        <v>5</v>
      </c>
      <c r="D496" s="2">
        <f t="shared" si="26"/>
        <v>2024</v>
      </c>
      <c r="E496" s="2" t="str">
        <f t="shared" si="27"/>
        <v>Mar</v>
      </c>
      <c r="F496" s="3">
        <f t="shared" si="28"/>
        <v>45352</v>
      </c>
      <c r="G496" s="3" t="s">
        <v>37</v>
      </c>
      <c r="H496" s="2">
        <v>53</v>
      </c>
      <c r="I496" s="2">
        <v>54</v>
      </c>
      <c r="J496" s="2">
        <v>293</v>
      </c>
      <c r="K496" s="2">
        <v>288</v>
      </c>
    </row>
    <row r="497" spans="1:11" x14ac:dyDescent="0.25">
      <c r="A497" t="s">
        <v>33</v>
      </c>
      <c r="B497" t="s">
        <v>20</v>
      </c>
      <c r="C497" s="2" t="s">
        <v>5</v>
      </c>
      <c r="D497" s="2">
        <f t="shared" si="26"/>
        <v>2024</v>
      </c>
      <c r="E497" s="2" t="str">
        <f t="shared" si="27"/>
        <v>Apr</v>
      </c>
      <c r="F497" s="3">
        <f t="shared" si="28"/>
        <v>45383</v>
      </c>
      <c r="G497" s="3" t="s">
        <v>37</v>
      </c>
      <c r="H497" s="2">
        <v>50</v>
      </c>
      <c r="I497" s="2">
        <v>50</v>
      </c>
      <c r="J497" s="2">
        <v>280</v>
      </c>
      <c r="K497" s="2">
        <v>300</v>
      </c>
    </row>
    <row r="498" spans="1:11" x14ac:dyDescent="0.25">
      <c r="A498" t="s">
        <v>33</v>
      </c>
      <c r="B498" t="s">
        <v>20</v>
      </c>
      <c r="C498" s="2" t="s">
        <v>5</v>
      </c>
      <c r="D498" s="2">
        <f t="shared" si="26"/>
        <v>2024</v>
      </c>
      <c r="E498" s="2" t="str">
        <f t="shared" si="27"/>
        <v>May</v>
      </c>
      <c r="F498" s="3">
        <f t="shared" si="28"/>
        <v>45413</v>
      </c>
      <c r="G498" s="3" t="s">
        <v>37</v>
      </c>
      <c r="H498" s="2">
        <v>52</v>
      </c>
      <c r="I498" s="2">
        <v>48</v>
      </c>
      <c r="J498" s="2">
        <v>288</v>
      </c>
      <c r="K498" s="2">
        <v>271</v>
      </c>
    </row>
    <row r="499" spans="1:11" x14ac:dyDescent="0.25">
      <c r="A499" t="s">
        <v>33</v>
      </c>
      <c r="B499" t="s">
        <v>20</v>
      </c>
      <c r="C499" s="2" t="s">
        <v>5</v>
      </c>
      <c r="D499" s="2">
        <f t="shared" si="26"/>
        <v>2024</v>
      </c>
      <c r="E499" s="2" t="str">
        <f t="shared" si="27"/>
        <v>Jun</v>
      </c>
      <c r="F499" s="3">
        <f t="shared" si="28"/>
        <v>45444</v>
      </c>
      <c r="G499" s="3" t="s">
        <v>37</v>
      </c>
      <c r="H499" s="2">
        <v>51</v>
      </c>
      <c r="I499" s="2">
        <v>52</v>
      </c>
      <c r="J499" s="2">
        <v>290</v>
      </c>
      <c r="K499" s="2">
        <v>287</v>
      </c>
    </row>
    <row r="500" spans="1:11" x14ac:dyDescent="0.25">
      <c r="A500" t="s">
        <v>33</v>
      </c>
      <c r="B500" t="s">
        <v>20</v>
      </c>
      <c r="C500" s="2" t="s">
        <v>5</v>
      </c>
      <c r="D500" s="2">
        <f t="shared" si="26"/>
        <v>2024</v>
      </c>
      <c r="E500" s="2" t="str">
        <f t="shared" si="27"/>
        <v>Jul</v>
      </c>
      <c r="F500" s="3">
        <f t="shared" si="28"/>
        <v>45474</v>
      </c>
      <c r="G500" s="3" t="s">
        <v>37</v>
      </c>
      <c r="H500" s="2">
        <v>61</v>
      </c>
      <c r="I500" s="2">
        <v>60</v>
      </c>
      <c r="J500" s="2">
        <v>258</v>
      </c>
      <c r="K500" s="2">
        <v>245</v>
      </c>
    </row>
    <row r="501" spans="1:11" x14ac:dyDescent="0.25">
      <c r="A501" t="s">
        <v>33</v>
      </c>
      <c r="B501" t="s">
        <v>20</v>
      </c>
      <c r="C501" s="2" t="s">
        <v>5</v>
      </c>
      <c r="D501" s="2">
        <f t="shared" si="26"/>
        <v>2024</v>
      </c>
      <c r="E501" s="2" t="str">
        <f t="shared" si="27"/>
        <v>Aug</v>
      </c>
      <c r="F501" s="3">
        <f t="shared" si="28"/>
        <v>45505</v>
      </c>
      <c r="G501" s="3" t="s">
        <v>37</v>
      </c>
      <c r="H501" s="2">
        <v>48</v>
      </c>
      <c r="I501" s="2">
        <v>52</v>
      </c>
      <c r="J501" s="2">
        <v>192</v>
      </c>
      <c r="K501" s="2">
        <v>194</v>
      </c>
    </row>
    <row r="502" spans="1:11" x14ac:dyDescent="0.25">
      <c r="A502" t="s">
        <v>33</v>
      </c>
      <c r="B502" t="s">
        <v>20</v>
      </c>
      <c r="C502" s="2" t="s">
        <v>5</v>
      </c>
      <c r="D502" s="2">
        <f t="shared" si="26"/>
        <v>2024</v>
      </c>
      <c r="E502" s="2" t="str">
        <f t="shared" si="27"/>
        <v>Sep</v>
      </c>
      <c r="F502" s="3">
        <f t="shared" si="28"/>
        <v>45536</v>
      </c>
      <c r="G502" s="3" t="s">
        <v>37</v>
      </c>
      <c r="H502" s="2">
        <v>56</v>
      </c>
      <c r="I502" s="2">
        <v>54</v>
      </c>
      <c r="J502" s="2">
        <v>295</v>
      </c>
      <c r="K502" s="2">
        <v>310</v>
      </c>
    </row>
    <row r="503" spans="1:11" x14ac:dyDescent="0.25">
      <c r="A503" t="s">
        <v>33</v>
      </c>
      <c r="B503" t="s">
        <v>20</v>
      </c>
      <c r="C503" s="2" t="s">
        <v>5</v>
      </c>
      <c r="D503" s="2">
        <f t="shared" si="26"/>
        <v>2024</v>
      </c>
      <c r="E503" s="2" t="str">
        <f t="shared" si="27"/>
        <v>Oct</v>
      </c>
      <c r="F503" s="3">
        <f t="shared" si="28"/>
        <v>45566</v>
      </c>
      <c r="G503" s="3" t="s">
        <v>37</v>
      </c>
      <c r="H503" s="2">
        <v>49</v>
      </c>
      <c r="I503" s="2">
        <v>47</v>
      </c>
      <c r="J503" s="2">
        <v>293</v>
      </c>
      <c r="K503" s="2">
        <v>282</v>
      </c>
    </row>
    <row r="504" spans="1:11" x14ac:dyDescent="0.25">
      <c r="A504" t="s">
        <v>33</v>
      </c>
      <c r="B504" t="s">
        <v>20</v>
      </c>
      <c r="C504" s="2" t="s">
        <v>5</v>
      </c>
      <c r="D504" s="2">
        <f t="shared" si="26"/>
        <v>2024</v>
      </c>
      <c r="E504" s="2" t="str">
        <f t="shared" si="27"/>
        <v>Nov</v>
      </c>
      <c r="F504" s="3">
        <f t="shared" si="28"/>
        <v>45597</v>
      </c>
      <c r="G504" s="3" t="s">
        <v>37</v>
      </c>
      <c r="H504" s="2">
        <v>42</v>
      </c>
      <c r="I504" s="2">
        <v>42</v>
      </c>
      <c r="J504" s="2">
        <v>202</v>
      </c>
      <c r="K504" s="2">
        <v>196</v>
      </c>
    </row>
    <row r="505" spans="1:11" x14ac:dyDescent="0.25">
      <c r="A505" t="s">
        <v>33</v>
      </c>
      <c r="B505" t="s">
        <v>20</v>
      </c>
      <c r="C505" s="2" t="s">
        <v>5</v>
      </c>
      <c r="D505" s="2">
        <f t="shared" si="26"/>
        <v>2024</v>
      </c>
      <c r="E505" s="2" t="str">
        <f t="shared" si="27"/>
        <v>Dec</v>
      </c>
      <c r="F505" s="3">
        <f t="shared" si="28"/>
        <v>45627</v>
      </c>
      <c r="G505" s="3" t="s">
        <v>37</v>
      </c>
      <c r="H505" s="2">
        <v>60</v>
      </c>
      <c r="I505" s="2">
        <v>64</v>
      </c>
      <c r="J505" s="2">
        <v>289</v>
      </c>
      <c r="K505" s="2">
        <v>273</v>
      </c>
    </row>
    <row r="506" spans="1:11" x14ac:dyDescent="0.25">
      <c r="A506" t="s">
        <v>33</v>
      </c>
      <c r="B506" t="s">
        <v>20</v>
      </c>
      <c r="C506" s="2" t="s">
        <v>6</v>
      </c>
      <c r="D506" s="2">
        <f t="shared" si="26"/>
        <v>2025</v>
      </c>
      <c r="E506" s="2" t="str">
        <f t="shared" si="27"/>
        <v>Jan</v>
      </c>
      <c r="F506" s="3">
        <f t="shared" si="28"/>
        <v>45658</v>
      </c>
      <c r="G506" s="3" t="s">
        <v>37</v>
      </c>
      <c r="H506" s="2">
        <v>62</v>
      </c>
      <c r="I506" s="2">
        <v>59</v>
      </c>
      <c r="J506" s="2">
        <v>298</v>
      </c>
      <c r="K506" s="2">
        <v>281</v>
      </c>
    </row>
    <row r="507" spans="1:11" x14ac:dyDescent="0.25">
      <c r="A507" t="s">
        <v>33</v>
      </c>
      <c r="B507" t="s">
        <v>20</v>
      </c>
      <c r="C507" s="2" t="s">
        <v>6</v>
      </c>
      <c r="D507" s="2">
        <f t="shared" si="26"/>
        <v>2025</v>
      </c>
      <c r="E507" s="2" t="str">
        <f t="shared" si="27"/>
        <v>Feb</v>
      </c>
      <c r="F507" s="3">
        <f t="shared" si="28"/>
        <v>45689</v>
      </c>
      <c r="G507" s="3" t="s">
        <v>37</v>
      </c>
      <c r="H507" s="2">
        <v>50</v>
      </c>
      <c r="I507" s="2">
        <v>47</v>
      </c>
      <c r="J507" s="2">
        <v>257</v>
      </c>
      <c r="K507" s="2">
        <v>276</v>
      </c>
    </row>
    <row r="508" spans="1:11" x14ac:dyDescent="0.25">
      <c r="A508" t="s">
        <v>33</v>
      </c>
      <c r="B508" t="s">
        <v>20</v>
      </c>
      <c r="C508" s="2" t="s">
        <v>6</v>
      </c>
      <c r="D508" s="2">
        <f t="shared" si="26"/>
        <v>2025</v>
      </c>
      <c r="E508" s="2" t="str">
        <f t="shared" si="27"/>
        <v>Mar</v>
      </c>
      <c r="F508" s="3">
        <f t="shared" si="28"/>
        <v>45717</v>
      </c>
      <c r="G508" s="3" t="s">
        <v>37</v>
      </c>
      <c r="H508" s="2">
        <v>59</v>
      </c>
      <c r="I508" s="2">
        <v>60</v>
      </c>
      <c r="J508" s="2">
        <v>259</v>
      </c>
      <c r="K508" s="2">
        <v>254</v>
      </c>
    </row>
    <row r="509" spans="1:11" x14ac:dyDescent="0.25">
      <c r="A509" t="s">
        <v>33</v>
      </c>
      <c r="B509" t="s">
        <v>20</v>
      </c>
      <c r="C509" s="2" t="s">
        <v>6</v>
      </c>
      <c r="D509" s="2">
        <f t="shared" si="26"/>
        <v>2025</v>
      </c>
      <c r="E509" s="2" t="str">
        <f t="shared" si="27"/>
        <v>Apr</v>
      </c>
      <c r="F509" s="3">
        <f t="shared" si="28"/>
        <v>45748</v>
      </c>
      <c r="G509" s="3" t="s">
        <v>37</v>
      </c>
      <c r="H509" s="2">
        <v>65</v>
      </c>
      <c r="I509" s="2">
        <v>71</v>
      </c>
      <c r="J509" s="2">
        <v>240</v>
      </c>
      <c r="K509" s="2">
        <v>240</v>
      </c>
    </row>
    <row r="510" spans="1:11" x14ac:dyDescent="0.25">
      <c r="A510" t="s">
        <v>33</v>
      </c>
      <c r="B510" t="s">
        <v>20</v>
      </c>
      <c r="C510" s="2" t="s">
        <v>6</v>
      </c>
      <c r="D510" s="2">
        <f t="shared" si="26"/>
        <v>2025</v>
      </c>
      <c r="E510" s="2" t="str">
        <f t="shared" si="27"/>
        <v>May</v>
      </c>
      <c r="F510" s="3">
        <f t="shared" si="28"/>
        <v>45778</v>
      </c>
      <c r="G510" s="3" t="s">
        <v>37</v>
      </c>
      <c r="H510" s="2">
        <v>84</v>
      </c>
      <c r="I510" s="2">
        <v>78</v>
      </c>
      <c r="J510" s="2">
        <v>258</v>
      </c>
      <c r="K510" s="2">
        <v>279</v>
      </c>
    </row>
    <row r="511" spans="1:11" x14ac:dyDescent="0.25">
      <c r="A511" t="s">
        <v>33</v>
      </c>
      <c r="B511" t="s">
        <v>20</v>
      </c>
      <c r="C511" s="2" t="s">
        <v>6</v>
      </c>
      <c r="D511" s="2">
        <f t="shared" si="26"/>
        <v>2025</v>
      </c>
      <c r="E511" s="2" t="str">
        <f t="shared" si="27"/>
        <v>Jun</v>
      </c>
      <c r="F511" s="3">
        <f t="shared" si="28"/>
        <v>45809</v>
      </c>
      <c r="G511" s="3" t="s">
        <v>37</v>
      </c>
      <c r="H511" s="2">
        <v>104</v>
      </c>
      <c r="I511" s="2">
        <v>105</v>
      </c>
      <c r="J511" s="2">
        <v>258</v>
      </c>
      <c r="K511" s="2">
        <v>277</v>
      </c>
    </row>
    <row r="512" spans="1:11" x14ac:dyDescent="0.25">
      <c r="A512" t="s">
        <v>33</v>
      </c>
      <c r="B512" t="s">
        <v>20</v>
      </c>
      <c r="C512" s="2" t="s">
        <v>6</v>
      </c>
      <c r="D512" s="2">
        <f t="shared" si="26"/>
        <v>2025</v>
      </c>
      <c r="E512" s="2" t="str">
        <f t="shared" si="27"/>
        <v>Jul</v>
      </c>
      <c r="F512" s="3">
        <f t="shared" si="28"/>
        <v>45839</v>
      </c>
      <c r="G512" s="3" t="s">
        <v>37</v>
      </c>
      <c r="H512" s="2">
        <v>65</v>
      </c>
      <c r="I512" s="2">
        <v>59</v>
      </c>
      <c r="J512" s="2">
        <v>226</v>
      </c>
      <c r="K512" s="2">
        <v>222</v>
      </c>
    </row>
    <row r="513" spans="1:11" x14ac:dyDescent="0.25">
      <c r="A513" t="s">
        <v>33</v>
      </c>
      <c r="B513" t="s">
        <v>20</v>
      </c>
      <c r="C513" s="2" t="s">
        <v>6</v>
      </c>
      <c r="D513" s="2">
        <f t="shared" si="26"/>
        <v>2025</v>
      </c>
      <c r="E513" s="2" t="str">
        <f t="shared" si="27"/>
        <v>Aug</v>
      </c>
      <c r="F513" s="3">
        <f t="shared" si="28"/>
        <v>45870</v>
      </c>
      <c r="G513" s="3" t="s">
        <v>37</v>
      </c>
      <c r="H513" s="2">
        <v>90</v>
      </c>
      <c r="I513" s="2">
        <v>93</v>
      </c>
      <c r="J513" s="2">
        <v>287</v>
      </c>
      <c r="K513" s="2">
        <v>271</v>
      </c>
    </row>
    <row r="514" spans="1:11" x14ac:dyDescent="0.25">
      <c r="A514" t="s">
        <v>33</v>
      </c>
      <c r="B514" t="s">
        <v>20</v>
      </c>
      <c r="C514" s="2" t="s">
        <v>6</v>
      </c>
      <c r="D514" s="2">
        <f t="shared" si="26"/>
        <v>2025</v>
      </c>
      <c r="E514" s="2" t="str">
        <f t="shared" si="27"/>
        <v>Sep</v>
      </c>
      <c r="F514" s="3">
        <f t="shared" si="28"/>
        <v>45901</v>
      </c>
      <c r="G514" s="3" t="s">
        <v>37</v>
      </c>
      <c r="H514" s="2">
        <v>96</v>
      </c>
      <c r="I514" s="2">
        <v>100</v>
      </c>
      <c r="J514" s="2">
        <v>186</v>
      </c>
      <c r="K514" s="2">
        <v>179</v>
      </c>
    </row>
    <row r="515" spans="1:11" x14ac:dyDescent="0.25">
      <c r="A515" t="s">
        <v>33</v>
      </c>
      <c r="B515" t="s">
        <v>20</v>
      </c>
      <c r="C515" s="2" t="s">
        <v>6</v>
      </c>
      <c r="D515" s="2">
        <f t="shared" si="26"/>
        <v>2025</v>
      </c>
      <c r="E515" s="2" t="str">
        <f t="shared" si="27"/>
        <v>Oct</v>
      </c>
      <c r="F515" s="3">
        <f t="shared" si="28"/>
        <v>45931</v>
      </c>
      <c r="G515" s="3" t="s">
        <v>37</v>
      </c>
      <c r="H515" s="2">
        <v>67</v>
      </c>
      <c r="I515" s="2">
        <v>63</v>
      </c>
      <c r="J515" s="2">
        <v>200</v>
      </c>
      <c r="K515" s="2">
        <v>206</v>
      </c>
    </row>
    <row r="516" spans="1:11" x14ac:dyDescent="0.25">
      <c r="A516" t="s">
        <v>33</v>
      </c>
      <c r="B516" t="s">
        <v>20</v>
      </c>
      <c r="C516" s="2" t="s">
        <v>6</v>
      </c>
      <c r="D516" s="2">
        <f t="shared" si="26"/>
        <v>2025</v>
      </c>
      <c r="E516" s="2" t="str">
        <f t="shared" si="27"/>
        <v>Nov</v>
      </c>
      <c r="F516" s="3">
        <f t="shared" si="28"/>
        <v>45962</v>
      </c>
      <c r="G516" s="3" t="s">
        <v>37</v>
      </c>
      <c r="H516" s="2">
        <v>72</v>
      </c>
      <c r="I516" s="2">
        <v>68</v>
      </c>
      <c r="J516" s="2">
        <v>240</v>
      </c>
      <c r="K516" s="2">
        <v>257</v>
      </c>
    </row>
    <row r="517" spans="1:11" x14ac:dyDescent="0.25">
      <c r="A517" t="s">
        <v>33</v>
      </c>
      <c r="B517" t="s">
        <v>20</v>
      </c>
      <c r="C517" s="2" t="s">
        <v>6</v>
      </c>
      <c r="D517" s="2">
        <f t="shared" si="26"/>
        <v>2025</v>
      </c>
      <c r="E517" s="2" t="str">
        <f t="shared" si="27"/>
        <v>Dec</v>
      </c>
      <c r="F517" s="3">
        <f t="shared" si="28"/>
        <v>45992</v>
      </c>
      <c r="G517" s="3" t="s">
        <v>37</v>
      </c>
      <c r="H517" s="2">
        <v>92</v>
      </c>
      <c r="I517" s="2">
        <v>94</v>
      </c>
      <c r="J517" s="2">
        <v>184</v>
      </c>
      <c r="K517" s="2">
        <v>177</v>
      </c>
    </row>
    <row r="518" spans="1:11" x14ac:dyDescent="0.25">
      <c r="A518" t="s">
        <v>33</v>
      </c>
      <c r="B518" t="s">
        <v>20</v>
      </c>
      <c r="C518" s="2" t="s">
        <v>6</v>
      </c>
      <c r="D518" s="2">
        <f t="shared" si="26"/>
        <v>2026</v>
      </c>
      <c r="E518" s="2" t="str">
        <f t="shared" si="27"/>
        <v>Jan</v>
      </c>
      <c r="F518" s="3">
        <f t="shared" si="28"/>
        <v>46023</v>
      </c>
      <c r="G518" s="3" t="s">
        <v>37</v>
      </c>
      <c r="H518" s="2">
        <v>96</v>
      </c>
      <c r="I518" s="2">
        <v>101</v>
      </c>
      <c r="J518" s="2">
        <v>272</v>
      </c>
      <c r="K518" s="2">
        <v>270</v>
      </c>
    </row>
    <row r="519" spans="1:11" x14ac:dyDescent="0.25">
      <c r="A519" t="s">
        <v>33</v>
      </c>
      <c r="B519" t="s">
        <v>20</v>
      </c>
      <c r="C519" s="2" t="s">
        <v>6</v>
      </c>
      <c r="D519" s="2">
        <f t="shared" si="26"/>
        <v>2026</v>
      </c>
      <c r="E519" s="2" t="str">
        <f t="shared" si="27"/>
        <v>Feb</v>
      </c>
      <c r="F519" s="3">
        <f t="shared" si="28"/>
        <v>46054</v>
      </c>
      <c r="G519" s="3" t="s">
        <v>37</v>
      </c>
      <c r="H519" s="2">
        <v>74</v>
      </c>
      <c r="I519" s="2">
        <v>78</v>
      </c>
      <c r="J519" s="2">
        <v>234</v>
      </c>
      <c r="K519" s="2">
        <v>232</v>
      </c>
    </row>
    <row r="520" spans="1:11" x14ac:dyDescent="0.25">
      <c r="A520" t="s">
        <v>33</v>
      </c>
      <c r="B520" t="s">
        <v>20</v>
      </c>
      <c r="C520" s="2" t="s">
        <v>6</v>
      </c>
      <c r="D520" s="2">
        <f t="shared" si="26"/>
        <v>2026</v>
      </c>
      <c r="E520" s="2" t="str">
        <f t="shared" si="27"/>
        <v>Mar</v>
      </c>
      <c r="F520" s="3">
        <f t="shared" si="28"/>
        <v>46082</v>
      </c>
      <c r="G520" s="3" t="s">
        <v>37</v>
      </c>
      <c r="H520" s="2">
        <v>56</v>
      </c>
      <c r="I520" s="2">
        <v>51</v>
      </c>
      <c r="J520" s="2">
        <v>253</v>
      </c>
      <c r="K520" s="2">
        <v>259</v>
      </c>
    </row>
    <row r="521" spans="1:11" x14ac:dyDescent="0.25">
      <c r="A521" t="s">
        <v>33</v>
      </c>
      <c r="B521" t="s">
        <v>20</v>
      </c>
      <c r="C521" s="2" t="s">
        <v>6</v>
      </c>
      <c r="D521" s="2">
        <f t="shared" si="26"/>
        <v>2026</v>
      </c>
      <c r="E521" s="2" t="str">
        <f t="shared" si="27"/>
        <v>Apr</v>
      </c>
      <c r="F521" s="3">
        <f t="shared" si="28"/>
        <v>46113</v>
      </c>
      <c r="G521" s="3" t="s">
        <v>37</v>
      </c>
      <c r="H521" s="2">
        <v>50</v>
      </c>
      <c r="I521" s="2">
        <v>45</v>
      </c>
      <c r="J521" s="2">
        <v>209</v>
      </c>
      <c r="K521" s="2">
        <v>221</v>
      </c>
    </row>
    <row r="522" spans="1:11" x14ac:dyDescent="0.25">
      <c r="A522" t="s">
        <v>33</v>
      </c>
      <c r="B522" t="s">
        <v>20</v>
      </c>
      <c r="C522" s="2" t="s">
        <v>6</v>
      </c>
      <c r="D522" s="2">
        <f t="shared" si="26"/>
        <v>2026</v>
      </c>
      <c r="E522" s="2" t="str">
        <f t="shared" si="27"/>
        <v>May</v>
      </c>
      <c r="F522" s="3">
        <f t="shared" si="28"/>
        <v>46143</v>
      </c>
      <c r="G522" s="3" t="s">
        <v>37</v>
      </c>
      <c r="H522" s="2">
        <v>52</v>
      </c>
      <c r="I522" s="2">
        <v>49</v>
      </c>
      <c r="J522" s="2">
        <v>181</v>
      </c>
      <c r="K522" s="2">
        <v>178</v>
      </c>
    </row>
    <row r="523" spans="1:11" x14ac:dyDescent="0.25">
      <c r="A523" t="s">
        <v>33</v>
      </c>
      <c r="B523" t="s">
        <v>20</v>
      </c>
      <c r="C523" s="2" t="s">
        <v>6</v>
      </c>
      <c r="D523" s="2">
        <f t="shared" si="26"/>
        <v>2026</v>
      </c>
      <c r="E523" s="2" t="str">
        <f t="shared" si="27"/>
        <v>Jun</v>
      </c>
      <c r="F523" s="3">
        <f t="shared" si="28"/>
        <v>46174</v>
      </c>
      <c r="G523" s="3" t="s">
        <v>37</v>
      </c>
      <c r="H523" s="2">
        <v>65</v>
      </c>
      <c r="I523" s="2">
        <v>68</v>
      </c>
      <c r="J523" s="2">
        <v>233</v>
      </c>
      <c r="K523" s="2">
        <v>230</v>
      </c>
    </row>
    <row r="524" spans="1:11" x14ac:dyDescent="0.25">
      <c r="A524" t="s">
        <v>33</v>
      </c>
      <c r="B524" t="s">
        <v>20</v>
      </c>
      <c r="C524" s="2" t="s">
        <v>6</v>
      </c>
      <c r="D524" s="2">
        <f t="shared" si="26"/>
        <v>2026</v>
      </c>
      <c r="E524" s="2" t="str">
        <f t="shared" si="27"/>
        <v>Jul</v>
      </c>
      <c r="F524" s="3">
        <f t="shared" si="28"/>
        <v>46204</v>
      </c>
      <c r="G524" s="3" t="s">
        <v>37</v>
      </c>
      <c r="H524" s="2">
        <v>59</v>
      </c>
      <c r="I524" s="2">
        <v>64</v>
      </c>
      <c r="J524" s="2">
        <v>253</v>
      </c>
      <c r="K524" s="2">
        <v>264</v>
      </c>
    </row>
    <row r="525" spans="1:11" x14ac:dyDescent="0.25">
      <c r="A525" t="s">
        <v>33</v>
      </c>
      <c r="B525" t="s">
        <v>20</v>
      </c>
      <c r="C525" s="2" t="s">
        <v>6</v>
      </c>
      <c r="D525" s="2">
        <f t="shared" si="26"/>
        <v>2026</v>
      </c>
      <c r="E525" s="2" t="str">
        <f t="shared" si="27"/>
        <v>Aug</v>
      </c>
      <c r="F525" s="3">
        <f t="shared" si="28"/>
        <v>46235</v>
      </c>
      <c r="G525" s="3" t="s">
        <v>37</v>
      </c>
      <c r="H525" s="2">
        <v>47</v>
      </c>
      <c r="I525" s="2">
        <v>42</v>
      </c>
      <c r="J525" s="2">
        <v>239</v>
      </c>
      <c r="K525" s="2">
        <v>257</v>
      </c>
    </row>
    <row r="526" spans="1:11" x14ac:dyDescent="0.25">
      <c r="A526" t="s">
        <v>33</v>
      </c>
      <c r="B526" t="s">
        <v>20</v>
      </c>
      <c r="C526" s="2" t="s">
        <v>6</v>
      </c>
      <c r="D526" s="2">
        <f t="shared" si="26"/>
        <v>2026</v>
      </c>
      <c r="E526" s="2" t="str">
        <f t="shared" si="27"/>
        <v>Sep</v>
      </c>
      <c r="F526" s="3">
        <f t="shared" si="28"/>
        <v>46266</v>
      </c>
      <c r="G526" s="3" t="s">
        <v>37</v>
      </c>
      <c r="H526" s="2">
        <v>50</v>
      </c>
      <c r="I526" s="2">
        <v>48</v>
      </c>
      <c r="J526" s="2">
        <v>195</v>
      </c>
      <c r="K526" s="2">
        <v>183</v>
      </c>
    </row>
    <row r="527" spans="1:11" x14ac:dyDescent="0.25">
      <c r="A527" t="s">
        <v>33</v>
      </c>
      <c r="B527" t="s">
        <v>20</v>
      </c>
      <c r="C527" s="2" t="s">
        <v>6</v>
      </c>
      <c r="D527" s="2">
        <f t="shared" si="26"/>
        <v>2026</v>
      </c>
      <c r="E527" s="2" t="str">
        <f t="shared" si="27"/>
        <v>Oct</v>
      </c>
      <c r="F527" s="3">
        <f t="shared" si="28"/>
        <v>46296</v>
      </c>
      <c r="G527" s="3" t="s">
        <v>37</v>
      </c>
      <c r="H527" s="2">
        <v>60</v>
      </c>
      <c r="I527" s="2">
        <v>65</v>
      </c>
      <c r="J527" s="2">
        <v>248</v>
      </c>
      <c r="K527" s="2">
        <v>259</v>
      </c>
    </row>
    <row r="528" spans="1:11" x14ac:dyDescent="0.25">
      <c r="A528" t="s">
        <v>33</v>
      </c>
      <c r="B528" t="s">
        <v>20</v>
      </c>
      <c r="C528" s="2" t="s">
        <v>6</v>
      </c>
      <c r="D528" s="2">
        <f t="shared" si="26"/>
        <v>2026</v>
      </c>
      <c r="E528" s="2" t="str">
        <f t="shared" si="27"/>
        <v>Nov</v>
      </c>
      <c r="F528" s="3">
        <f t="shared" si="28"/>
        <v>46327</v>
      </c>
      <c r="G528" s="3" t="s">
        <v>37</v>
      </c>
      <c r="H528" s="2">
        <v>62</v>
      </c>
      <c r="I528" s="2">
        <v>61</v>
      </c>
      <c r="J528" s="2">
        <v>273</v>
      </c>
      <c r="K528" s="2">
        <v>261</v>
      </c>
    </row>
    <row r="529" spans="1:11" x14ac:dyDescent="0.25">
      <c r="A529" t="s">
        <v>33</v>
      </c>
      <c r="B529" t="s">
        <v>20</v>
      </c>
      <c r="C529" s="2" t="s">
        <v>6</v>
      </c>
      <c r="D529" s="2">
        <f t="shared" si="26"/>
        <v>2026</v>
      </c>
      <c r="E529" s="2" t="str">
        <f t="shared" si="27"/>
        <v>Dec</v>
      </c>
      <c r="F529" s="3">
        <f t="shared" si="28"/>
        <v>46357</v>
      </c>
      <c r="G529" s="3" t="s">
        <v>37</v>
      </c>
      <c r="H529" s="2">
        <v>52</v>
      </c>
      <c r="I529" s="2">
        <v>57</v>
      </c>
      <c r="J529" s="2">
        <v>245</v>
      </c>
      <c r="K529" s="2">
        <v>230</v>
      </c>
    </row>
    <row r="530" spans="1:11" x14ac:dyDescent="0.25">
      <c r="A530" t="s">
        <v>33</v>
      </c>
      <c r="B530" t="s">
        <v>20</v>
      </c>
      <c r="C530" s="2" t="s">
        <v>6</v>
      </c>
      <c r="D530" s="2">
        <f t="shared" si="26"/>
        <v>2027</v>
      </c>
      <c r="E530" s="2" t="str">
        <f t="shared" si="27"/>
        <v>Jan</v>
      </c>
      <c r="F530" s="3">
        <f t="shared" si="28"/>
        <v>46388</v>
      </c>
      <c r="G530" s="3" t="s">
        <v>37</v>
      </c>
      <c r="H530" s="2">
        <v>96</v>
      </c>
      <c r="I530" s="2">
        <v>101</v>
      </c>
      <c r="J530" s="2">
        <v>272</v>
      </c>
      <c r="K530" s="2">
        <v>270</v>
      </c>
    </row>
    <row r="531" spans="1:11" x14ac:dyDescent="0.25">
      <c r="A531" t="s">
        <v>33</v>
      </c>
      <c r="B531" t="s">
        <v>20</v>
      </c>
      <c r="C531" s="2" t="s">
        <v>6</v>
      </c>
      <c r="D531" s="2">
        <f t="shared" si="26"/>
        <v>2027</v>
      </c>
      <c r="E531" s="2" t="str">
        <f t="shared" si="27"/>
        <v>Feb</v>
      </c>
      <c r="F531" s="3">
        <f t="shared" si="28"/>
        <v>46419</v>
      </c>
      <c r="G531" s="3" t="s">
        <v>37</v>
      </c>
      <c r="H531" s="2">
        <v>74</v>
      </c>
      <c r="I531" s="2">
        <v>78</v>
      </c>
      <c r="J531" s="2">
        <v>234</v>
      </c>
      <c r="K531" s="2">
        <v>232</v>
      </c>
    </row>
    <row r="532" spans="1:11" x14ac:dyDescent="0.25">
      <c r="A532" t="s">
        <v>33</v>
      </c>
      <c r="B532" t="s">
        <v>20</v>
      </c>
      <c r="C532" s="2" t="s">
        <v>6</v>
      </c>
      <c r="D532" s="2">
        <f t="shared" si="26"/>
        <v>2027</v>
      </c>
      <c r="E532" s="2" t="str">
        <f t="shared" si="27"/>
        <v>Mar</v>
      </c>
      <c r="F532" s="3">
        <f t="shared" si="28"/>
        <v>46447</v>
      </c>
      <c r="G532" s="3" t="s">
        <v>37</v>
      </c>
      <c r="H532" s="2">
        <v>56</v>
      </c>
      <c r="I532" s="2">
        <v>51</v>
      </c>
      <c r="J532" s="2">
        <v>253</v>
      </c>
      <c r="K532" s="2">
        <v>259</v>
      </c>
    </row>
    <row r="533" spans="1:11" x14ac:dyDescent="0.25">
      <c r="A533" t="s">
        <v>33</v>
      </c>
      <c r="B533" t="s">
        <v>20</v>
      </c>
      <c r="C533" s="2" t="s">
        <v>6</v>
      </c>
      <c r="D533" s="2">
        <f t="shared" si="26"/>
        <v>2027</v>
      </c>
      <c r="E533" s="2" t="str">
        <f t="shared" si="27"/>
        <v>Apr</v>
      </c>
      <c r="F533" s="3">
        <f t="shared" si="28"/>
        <v>46478</v>
      </c>
      <c r="G533" s="3" t="s">
        <v>37</v>
      </c>
      <c r="H533" s="2">
        <v>50</v>
      </c>
      <c r="I533" s="2">
        <v>45</v>
      </c>
      <c r="J533" s="2">
        <v>209</v>
      </c>
      <c r="K533" s="2">
        <v>221</v>
      </c>
    </row>
    <row r="534" spans="1:11" x14ac:dyDescent="0.25">
      <c r="A534" t="s">
        <v>33</v>
      </c>
      <c r="B534" t="s">
        <v>20</v>
      </c>
      <c r="C534" s="2" t="s">
        <v>6</v>
      </c>
      <c r="D534" s="2">
        <f t="shared" si="26"/>
        <v>2027</v>
      </c>
      <c r="E534" s="2" t="str">
        <f t="shared" si="27"/>
        <v>May</v>
      </c>
      <c r="F534" s="3">
        <f t="shared" si="28"/>
        <v>46508</v>
      </c>
      <c r="G534" s="3" t="s">
        <v>37</v>
      </c>
      <c r="H534" s="2">
        <v>52</v>
      </c>
      <c r="I534" s="2">
        <v>49</v>
      </c>
      <c r="J534" s="2">
        <v>181</v>
      </c>
      <c r="K534" s="2">
        <v>178</v>
      </c>
    </row>
    <row r="535" spans="1:11" x14ac:dyDescent="0.25">
      <c r="A535" t="s">
        <v>33</v>
      </c>
      <c r="B535" t="s">
        <v>20</v>
      </c>
      <c r="C535" s="2" t="s">
        <v>6</v>
      </c>
      <c r="D535" s="2">
        <f t="shared" si="26"/>
        <v>2027</v>
      </c>
      <c r="E535" s="2" t="str">
        <f t="shared" si="27"/>
        <v>Jun</v>
      </c>
      <c r="F535" s="3">
        <f t="shared" si="28"/>
        <v>46539</v>
      </c>
      <c r="G535" s="3" t="s">
        <v>37</v>
      </c>
      <c r="H535" s="2">
        <v>65</v>
      </c>
      <c r="I535" s="2">
        <v>68</v>
      </c>
      <c r="J535" s="2">
        <v>233</v>
      </c>
      <c r="K535" s="2">
        <v>230</v>
      </c>
    </row>
    <row r="536" spans="1:11" x14ac:dyDescent="0.25">
      <c r="A536" t="s">
        <v>33</v>
      </c>
      <c r="B536" t="s">
        <v>20</v>
      </c>
      <c r="C536" s="2" t="s">
        <v>6</v>
      </c>
      <c r="D536" s="2">
        <f t="shared" si="26"/>
        <v>2027</v>
      </c>
      <c r="E536" s="2" t="str">
        <f t="shared" si="27"/>
        <v>Jul</v>
      </c>
      <c r="F536" s="3">
        <f t="shared" si="28"/>
        <v>46569</v>
      </c>
      <c r="G536" s="3" t="s">
        <v>37</v>
      </c>
      <c r="H536" s="2">
        <v>59</v>
      </c>
      <c r="I536" s="2">
        <v>64</v>
      </c>
      <c r="J536" s="2">
        <v>253</v>
      </c>
      <c r="K536" s="2">
        <v>264</v>
      </c>
    </row>
    <row r="537" spans="1:11" x14ac:dyDescent="0.25">
      <c r="A537" t="s">
        <v>33</v>
      </c>
      <c r="B537" t="s">
        <v>20</v>
      </c>
      <c r="C537" s="2" t="s">
        <v>6</v>
      </c>
      <c r="D537" s="2">
        <f t="shared" si="26"/>
        <v>2027</v>
      </c>
      <c r="E537" s="2" t="str">
        <f t="shared" si="27"/>
        <v>Aug</v>
      </c>
      <c r="F537" s="3">
        <f t="shared" si="28"/>
        <v>46600</v>
      </c>
      <c r="G537" s="3" t="s">
        <v>37</v>
      </c>
      <c r="H537" s="2">
        <v>47</v>
      </c>
      <c r="I537" s="2">
        <v>42</v>
      </c>
      <c r="J537" s="2">
        <v>239</v>
      </c>
      <c r="K537" s="2">
        <v>257</v>
      </c>
    </row>
    <row r="538" spans="1:11" x14ac:dyDescent="0.25">
      <c r="A538" t="s">
        <v>33</v>
      </c>
      <c r="B538" t="s">
        <v>20</v>
      </c>
      <c r="C538" s="2" t="s">
        <v>6</v>
      </c>
      <c r="D538" s="2">
        <f t="shared" si="26"/>
        <v>2027</v>
      </c>
      <c r="E538" s="2" t="str">
        <f t="shared" si="27"/>
        <v>Sep</v>
      </c>
      <c r="F538" s="3">
        <f t="shared" si="28"/>
        <v>46631</v>
      </c>
      <c r="G538" s="3" t="s">
        <v>37</v>
      </c>
      <c r="H538" s="2">
        <v>50</v>
      </c>
      <c r="I538" s="2">
        <v>48</v>
      </c>
      <c r="J538" s="2">
        <v>195</v>
      </c>
      <c r="K538" s="2">
        <v>183</v>
      </c>
    </row>
    <row r="539" spans="1:11" x14ac:dyDescent="0.25">
      <c r="A539" t="s">
        <v>33</v>
      </c>
      <c r="B539" t="s">
        <v>20</v>
      </c>
      <c r="C539" s="2" t="s">
        <v>6</v>
      </c>
      <c r="D539" s="2">
        <f t="shared" si="26"/>
        <v>2027</v>
      </c>
      <c r="E539" s="2" t="str">
        <f t="shared" si="27"/>
        <v>Oct</v>
      </c>
      <c r="F539" s="3">
        <f t="shared" si="28"/>
        <v>46661</v>
      </c>
      <c r="G539" s="3" t="s">
        <v>37</v>
      </c>
      <c r="H539" s="2">
        <v>60</v>
      </c>
      <c r="I539" s="2">
        <v>65</v>
      </c>
      <c r="J539" s="2">
        <v>248</v>
      </c>
      <c r="K539" s="2">
        <v>259</v>
      </c>
    </row>
    <row r="540" spans="1:11" x14ac:dyDescent="0.25">
      <c r="A540" t="s">
        <v>33</v>
      </c>
      <c r="B540" t="s">
        <v>20</v>
      </c>
      <c r="C540" s="2" t="s">
        <v>6</v>
      </c>
      <c r="D540" s="2">
        <f t="shared" si="26"/>
        <v>2027</v>
      </c>
      <c r="E540" s="2" t="str">
        <f t="shared" si="27"/>
        <v>Nov</v>
      </c>
      <c r="F540" s="3">
        <f t="shared" si="28"/>
        <v>46692</v>
      </c>
      <c r="G540" s="3" t="s">
        <v>37</v>
      </c>
      <c r="H540" s="2">
        <v>62</v>
      </c>
      <c r="I540" s="2">
        <v>61</v>
      </c>
      <c r="J540" s="2">
        <v>273</v>
      </c>
      <c r="K540" s="2">
        <v>261</v>
      </c>
    </row>
    <row r="541" spans="1:11" x14ac:dyDescent="0.25">
      <c r="A541" t="s">
        <v>33</v>
      </c>
      <c r="B541" t="s">
        <v>20</v>
      </c>
      <c r="C541" s="2" t="s">
        <v>6</v>
      </c>
      <c r="D541" s="2">
        <f t="shared" si="26"/>
        <v>2027</v>
      </c>
      <c r="E541" s="2" t="str">
        <f t="shared" si="27"/>
        <v>Dec</v>
      </c>
      <c r="F541" s="3">
        <f t="shared" si="28"/>
        <v>46722</v>
      </c>
      <c r="G541" s="3" t="s">
        <v>37</v>
      </c>
      <c r="H541" s="2">
        <v>52</v>
      </c>
      <c r="I541" s="2">
        <v>57</v>
      </c>
      <c r="J541" s="2">
        <v>245</v>
      </c>
      <c r="K541" s="2">
        <v>230</v>
      </c>
    </row>
    <row r="542" spans="1:11" x14ac:dyDescent="0.25">
      <c r="F542" s="3"/>
      <c r="G542" s="3"/>
    </row>
    <row r="543" spans="1:11" x14ac:dyDescent="0.25">
      <c r="F543" s="3"/>
      <c r="G543" s="3"/>
    </row>
    <row r="544" spans="1:11" x14ac:dyDescent="0.25">
      <c r="F544" s="3"/>
      <c r="G544" s="3"/>
    </row>
    <row r="545" spans="6:7" x14ac:dyDescent="0.25">
      <c r="F545" s="3"/>
      <c r="G545" s="3"/>
    </row>
    <row r="546" spans="6:7" x14ac:dyDescent="0.25">
      <c r="F546" s="3"/>
      <c r="G546" s="3"/>
    </row>
    <row r="547" spans="6:7" x14ac:dyDescent="0.25">
      <c r="F547" s="3"/>
      <c r="G547" s="3"/>
    </row>
    <row r="548" spans="6:7" x14ac:dyDescent="0.25">
      <c r="F548" s="3"/>
      <c r="G548" s="3"/>
    </row>
    <row r="549" spans="6:7" x14ac:dyDescent="0.25">
      <c r="F549" s="3"/>
      <c r="G549" s="3"/>
    </row>
    <row r="550" spans="6:7" x14ac:dyDescent="0.25">
      <c r="F550" s="3"/>
      <c r="G550" s="3"/>
    </row>
    <row r="551" spans="6:7" x14ac:dyDescent="0.25">
      <c r="F551" s="3"/>
      <c r="G551" s="3"/>
    </row>
    <row r="552" spans="6:7" x14ac:dyDescent="0.25">
      <c r="F552" s="3"/>
      <c r="G552" s="3"/>
    </row>
    <row r="553" spans="6:7" x14ac:dyDescent="0.25">
      <c r="F553" s="3"/>
      <c r="G553" s="3"/>
    </row>
    <row r="554" spans="6:7" x14ac:dyDescent="0.25">
      <c r="F554" s="3"/>
      <c r="G554" s="3"/>
    </row>
    <row r="555" spans="6:7" x14ac:dyDescent="0.25">
      <c r="F555" s="3"/>
      <c r="G555" s="3"/>
    </row>
    <row r="556" spans="6:7" x14ac:dyDescent="0.25">
      <c r="F556" s="3"/>
      <c r="G556" s="3"/>
    </row>
    <row r="557" spans="6:7" x14ac:dyDescent="0.25">
      <c r="F557" s="3"/>
      <c r="G557" s="3"/>
    </row>
    <row r="558" spans="6:7" x14ac:dyDescent="0.25">
      <c r="F558" s="3"/>
      <c r="G558" s="3"/>
    </row>
    <row r="559" spans="6:7" x14ac:dyDescent="0.25">
      <c r="F559" s="3"/>
      <c r="G559" s="3"/>
    </row>
    <row r="560" spans="6:7" x14ac:dyDescent="0.25">
      <c r="F560" s="3"/>
      <c r="G560" s="3"/>
    </row>
    <row r="561" spans="6:7" x14ac:dyDescent="0.25">
      <c r="F561" s="3"/>
      <c r="G561" s="3"/>
    </row>
    <row r="562" spans="6:7" x14ac:dyDescent="0.25">
      <c r="F562" s="3"/>
      <c r="G562" s="3"/>
    </row>
    <row r="563" spans="6:7" x14ac:dyDescent="0.25">
      <c r="F563" s="3"/>
      <c r="G563" s="3"/>
    </row>
    <row r="564" spans="6:7" x14ac:dyDescent="0.25">
      <c r="F564" s="3"/>
      <c r="G564" s="3"/>
    </row>
    <row r="565" spans="6:7" x14ac:dyDescent="0.25">
      <c r="F565" s="3"/>
      <c r="G565" s="3"/>
    </row>
    <row r="566" spans="6:7" x14ac:dyDescent="0.25">
      <c r="F566" s="3"/>
      <c r="G566" s="3"/>
    </row>
    <row r="567" spans="6:7" x14ac:dyDescent="0.25">
      <c r="F567" s="3"/>
      <c r="G567" s="3"/>
    </row>
    <row r="568" spans="6:7" x14ac:dyDescent="0.25">
      <c r="F568" s="3"/>
      <c r="G568" s="3"/>
    </row>
    <row r="569" spans="6:7" x14ac:dyDescent="0.25">
      <c r="F569" s="3"/>
      <c r="G569" s="3"/>
    </row>
    <row r="570" spans="6:7" x14ac:dyDescent="0.25">
      <c r="F570" s="3"/>
      <c r="G570" s="3"/>
    </row>
    <row r="571" spans="6:7" x14ac:dyDescent="0.25">
      <c r="F571" s="3"/>
      <c r="G571" s="3"/>
    </row>
    <row r="572" spans="6:7" x14ac:dyDescent="0.25">
      <c r="F572" s="3"/>
      <c r="G572" s="3"/>
    </row>
    <row r="573" spans="6:7" x14ac:dyDescent="0.25">
      <c r="F573" s="3"/>
      <c r="G573" s="3"/>
    </row>
    <row r="574" spans="6:7" x14ac:dyDescent="0.25">
      <c r="F574" s="3"/>
      <c r="G574" s="3"/>
    </row>
    <row r="575" spans="6:7" x14ac:dyDescent="0.25">
      <c r="F575" s="3"/>
      <c r="G575" s="3"/>
    </row>
    <row r="576" spans="6:7" x14ac:dyDescent="0.25">
      <c r="F576" s="3"/>
      <c r="G576" s="3"/>
    </row>
    <row r="577" spans="6:7" x14ac:dyDescent="0.25">
      <c r="F577" s="3"/>
      <c r="G577" s="3"/>
    </row>
    <row r="578" spans="6:7" x14ac:dyDescent="0.25">
      <c r="F578" s="3"/>
      <c r="G578" s="3"/>
    </row>
    <row r="579" spans="6:7" x14ac:dyDescent="0.25">
      <c r="F579" s="3"/>
      <c r="G579" s="3"/>
    </row>
    <row r="580" spans="6:7" x14ac:dyDescent="0.25">
      <c r="F580" s="3"/>
      <c r="G580" s="3"/>
    </row>
    <row r="581" spans="6:7" x14ac:dyDescent="0.25">
      <c r="F581" s="3"/>
      <c r="G581" s="3"/>
    </row>
    <row r="582" spans="6:7" x14ac:dyDescent="0.25">
      <c r="F582" s="3"/>
      <c r="G582" s="3"/>
    </row>
    <row r="583" spans="6:7" x14ac:dyDescent="0.25">
      <c r="F583" s="3"/>
      <c r="G583" s="3"/>
    </row>
    <row r="584" spans="6:7" x14ac:dyDescent="0.25">
      <c r="F584" s="3"/>
      <c r="G584" s="3"/>
    </row>
    <row r="585" spans="6:7" x14ac:dyDescent="0.25">
      <c r="F585" s="3"/>
      <c r="G585" s="3"/>
    </row>
    <row r="586" spans="6:7" x14ac:dyDescent="0.25">
      <c r="F586" s="3"/>
      <c r="G586" s="3"/>
    </row>
    <row r="587" spans="6:7" x14ac:dyDescent="0.25">
      <c r="F587" s="3"/>
      <c r="G587" s="3"/>
    </row>
    <row r="588" spans="6:7" x14ac:dyDescent="0.25">
      <c r="F588" s="3"/>
      <c r="G588" s="3"/>
    </row>
    <row r="589" spans="6:7" x14ac:dyDescent="0.25">
      <c r="F589" s="3"/>
      <c r="G589" s="3"/>
    </row>
    <row r="590" spans="6:7" x14ac:dyDescent="0.25">
      <c r="F590" s="3"/>
      <c r="G590" s="3"/>
    </row>
    <row r="591" spans="6:7" x14ac:dyDescent="0.25">
      <c r="F591" s="3"/>
      <c r="G591" s="3"/>
    </row>
    <row r="592" spans="6:7" x14ac:dyDescent="0.25">
      <c r="F592" s="3"/>
      <c r="G592" s="3"/>
    </row>
    <row r="593" spans="6:7" x14ac:dyDescent="0.25">
      <c r="F593" s="3"/>
      <c r="G593" s="3"/>
    </row>
    <row r="594" spans="6:7" x14ac:dyDescent="0.25">
      <c r="F594" s="3"/>
      <c r="G594" s="3"/>
    </row>
    <row r="595" spans="6:7" x14ac:dyDescent="0.25">
      <c r="F595" s="3"/>
      <c r="G595" s="3"/>
    </row>
    <row r="596" spans="6:7" x14ac:dyDescent="0.25">
      <c r="F596" s="3"/>
      <c r="G596" s="3"/>
    </row>
    <row r="597" spans="6:7" x14ac:dyDescent="0.25">
      <c r="F597" s="3"/>
      <c r="G597" s="3"/>
    </row>
    <row r="598" spans="6:7" x14ac:dyDescent="0.25">
      <c r="F598" s="3"/>
      <c r="G598" s="3"/>
    </row>
    <row r="599" spans="6:7" x14ac:dyDescent="0.25">
      <c r="F599" s="3"/>
      <c r="G599" s="3"/>
    </row>
    <row r="600" spans="6:7" x14ac:dyDescent="0.25">
      <c r="F600" s="3"/>
      <c r="G600" s="3"/>
    </row>
    <row r="601" spans="6:7" x14ac:dyDescent="0.25">
      <c r="F601" s="3"/>
      <c r="G601" s="3"/>
    </row>
    <row r="602" spans="6:7" x14ac:dyDescent="0.25">
      <c r="F602" s="3"/>
      <c r="G602" s="3"/>
    </row>
    <row r="603" spans="6:7" x14ac:dyDescent="0.25">
      <c r="F603" s="3"/>
      <c r="G603" s="3"/>
    </row>
    <row r="604" spans="6:7" x14ac:dyDescent="0.25">
      <c r="F604" s="3"/>
      <c r="G604" s="3"/>
    </row>
    <row r="605" spans="6:7" x14ac:dyDescent="0.25">
      <c r="F605" s="3"/>
      <c r="G605" s="3"/>
    </row>
    <row r="606" spans="6:7" x14ac:dyDescent="0.25">
      <c r="F606" s="3"/>
      <c r="G606" s="3"/>
    </row>
    <row r="607" spans="6:7" x14ac:dyDescent="0.25">
      <c r="F607" s="3"/>
      <c r="G607" s="3"/>
    </row>
    <row r="608" spans="6:7" x14ac:dyDescent="0.25">
      <c r="F608" s="3"/>
      <c r="G608" s="3"/>
    </row>
    <row r="609" spans="6:7" x14ac:dyDescent="0.25">
      <c r="F609" s="3"/>
      <c r="G609" s="3"/>
    </row>
    <row r="610" spans="6:7" x14ac:dyDescent="0.25">
      <c r="F610" s="3"/>
      <c r="G610" s="3"/>
    </row>
    <row r="611" spans="6:7" x14ac:dyDescent="0.25">
      <c r="F611" s="3"/>
      <c r="G611" s="3"/>
    </row>
    <row r="612" spans="6:7" x14ac:dyDescent="0.25">
      <c r="F612" s="3"/>
      <c r="G612" s="3"/>
    </row>
    <row r="613" spans="6:7" x14ac:dyDescent="0.25">
      <c r="F613" s="3"/>
      <c r="G613" s="3"/>
    </row>
    <row r="614" spans="6:7" x14ac:dyDescent="0.25">
      <c r="F614" s="3"/>
      <c r="G614" s="3"/>
    </row>
    <row r="615" spans="6:7" x14ac:dyDescent="0.25">
      <c r="F615" s="3"/>
      <c r="G615" s="3"/>
    </row>
    <row r="616" spans="6:7" x14ac:dyDescent="0.25">
      <c r="F616" s="3"/>
      <c r="G616" s="3"/>
    </row>
    <row r="617" spans="6:7" x14ac:dyDescent="0.25">
      <c r="F617" s="3"/>
      <c r="G617" s="3"/>
    </row>
    <row r="618" spans="6:7" x14ac:dyDescent="0.25">
      <c r="F618" s="3"/>
      <c r="G618" s="3"/>
    </row>
    <row r="619" spans="6:7" x14ac:dyDescent="0.25">
      <c r="F619" s="3"/>
      <c r="G619" s="3"/>
    </row>
    <row r="620" spans="6:7" x14ac:dyDescent="0.25">
      <c r="F620" s="3"/>
      <c r="G620" s="3"/>
    </row>
    <row r="621" spans="6:7" x14ac:dyDescent="0.25">
      <c r="F621" s="3"/>
      <c r="G621" s="3"/>
    </row>
    <row r="622" spans="6:7" x14ac:dyDescent="0.25">
      <c r="F622" s="3"/>
      <c r="G622" s="3"/>
    </row>
    <row r="623" spans="6:7" x14ac:dyDescent="0.25">
      <c r="F623" s="3"/>
      <c r="G623" s="3"/>
    </row>
    <row r="624" spans="6:7" x14ac:dyDescent="0.25">
      <c r="F624" s="3"/>
      <c r="G624" s="3"/>
    </row>
    <row r="625" spans="6:7" x14ac:dyDescent="0.25">
      <c r="F625" s="3"/>
      <c r="G625" s="3"/>
    </row>
    <row r="626" spans="6:7" x14ac:dyDescent="0.25">
      <c r="F626" s="3"/>
      <c r="G626" s="3"/>
    </row>
    <row r="627" spans="6:7" x14ac:dyDescent="0.25">
      <c r="F627" s="3"/>
      <c r="G627" s="3"/>
    </row>
    <row r="628" spans="6:7" x14ac:dyDescent="0.25">
      <c r="F628" s="3"/>
      <c r="G628" s="3"/>
    </row>
    <row r="629" spans="6:7" x14ac:dyDescent="0.25">
      <c r="F629" s="3"/>
      <c r="G629" s="3"/>
    </row>
    <row r="630" spans="6:7" x14ac:dyDescent="0.25">
      <c r="F630" s="3"/>
      <c r="G630" s="3"/>
    </row>
    <row r="631" spans="6:7" x14ac:dyDescent="0.25">
      <c r="F631" s="3"/>
      <c r="G631" s="3"/>
    </row>
    <row r="632" spans="6:7" x14ac:dyDescent="0.25">
      <c r="F632" s="3"/>
      <c r="G632" s="3"/>
    </row>
    <row r="633" spans="6:7" x14ac:dyDescent="0.25">
      <c r="F633" s="3"/>
      <c r="G633" s="3"/>
    </row>
    <row r="634" spans="6:7" x14ac:dyDescent="0.25">
      <c r="F634" s="3"/>
      <c r="G634" s="3"/>
    </row>
    <row r="635" spans="6:7" x14ac:dyDescent="0.25">
      <c r="F635" s="3"/>
      <c r="G635" s="3"/>
    </row>
    <row r="636" spans="6:7" x14ac:dyDescent="0.25">
      <c r="F636" s="3"/>
      <c r="G636" s="3"/>
    </row>
    <row r="637" spans="6:7" x14ac:dyDescent="0.25">
      <c r="F637" s="3"/>
      <c r="G637" s="3"/>
    </row>
    <row r="638" spans="6:7" x14ac:dyDescent="0.25">
      <c r="F638" s="3"/>
      <c r="G638" s="3"/>
    </row>
    <row r="639" spans="6:7" x14ac:dyDescent="0.25">
      <c r="F639" s="3"/>
      <c r="G639" s="3"/>
    </row>
    <row r="640" spans="6:7" x14ac:dyDescent="0.25">
      <c r="F640" s="3"/>
      <c r="G640" s="3"/>
    </row>
    <row r="641" spans="6:7" x14ac:dyDescent="0.25">
      <c r="F641" s="3"/>
      <c r="G641" s="3"/>
    </row>
    <row r="642" spans="6:7" x14ac:dyDescent="0.25">
      <c r="F642" s="3"/>
      <c r="G642" s="3"/>
    </row>
    <row r="643" spans="6:7" x14ac:dyDescent="0.25">
      <c r="F643" s="3"/>
      <c r="G643" s="3"/>
    </row>
    <row r="644" spans="6:7" x14ac:dyDescent="0.25">
      <c r="F644" s="3"/>
      <c r="G644" s="3"/>
    </row>
    <row r="645" spans="6:7" x14ac:dyDescent="0.25">
      <c r="F645" s="3"/>
      <c r="G645" s="3"/>
    </row>
    <row r="646" spans="6:7" x14ac:dyDescent="0.25">
      <c r="F646" s="3"/>
      <c r="G646" s="3"/>
    </row>
    <row r="647" spans="6:7" x14ac:dyDescent="0.25">
      <c r="F647" s="3"/>
      <c r="G647" s="3"/>
    </row>
    <row r="648" spans="6:7" x14ac:dyDescent="0.25">
      <c r="F648" s="3"/>
      <c r="G648" s="3"/>
    </row>
    <row r="649" spans="6:7" x14ac:dyDescent="0.25">
      <c r="F649" s="3"/>
      <c r="G649" s="3"/>
    </row>
    <row r="650" spans="6:7" x14ac:dyDescent="0.25">
      <c r="F650" s="3"/>
      <c r="G650" s="3"/>
    </row>
    <row r="651" spans="6:7" x14ac:dyDescent="0.25">
      <c r="F651" s="3"/>
      <c r="G651" s="3"/>
    </row>
    <row r="652" spans="6:7" x14ac:dyDescent="0.25">
      <c r="F652" s="3"/>
      <c r="G652" s="3"/>
    </row>
    <row r="653" spans="6:7" x14ac:dyDescent="0.25">
      <c r="F653" s="3"/>
      <c r="G653" s="3"/>
    </row>
    <row r="654" spans="6:7" x14ac:dyDescent="0.25">
      <c r="F654" s="3"/>
      <c r="G654" s="3"/>
    </row>
    <row r="655" spans="6:7" x14ac:dyDescent="0.25">
      <c r="F655" s="3"/>
      <c r="G655" s="3"/>
    </row>
    <row r="656" spans="6:7" x14ac:dyDescent="0.25">
      <c r="F656" s="3"/>
      <c r="G656" s="3"/>
    </row>
    <row r="657" spans="6:7" x14ac:dyDescent="0.25">
      <c r="F657" s="3"/>
      <c r="G657" s="3"/>
    </row>
    <row r="658" spans="6:7" x14ac:dyDescent="0.25">
      <c r="F658" s="3"/>
      <c r="G658" s="3"/>
    </row>
    <row r="659" spans="6:7" x14ac:dyDescent="0.25">
      <c r="F659" s="3"/>
      <c r="G659" s="3"/>
    </row>
    <row r="660" spans="6:7" x14ac:dyDescent="0.25">
      <c r="F660" s="3"/>
      <c r="G660" s="3"/>
    </row>
    <row r="661" spans="6:7" x14ac:dyDescent="0.25">
      <c r="F661" s="3"/>
      <c r="G661" s="3"/>
    </row>
    <row r="662" spans="6:7" x14ac:dyDescent="0.25">
      <c r="F662" s="3"/>
      <c r="G662" s="3"/>
    </row>
    <row r="663" spans="6:7" x14ac:dyDescent="0.25">
      <c r="F663" s="3"/>
      <c r="G663" s="3"/>
    </row>
    <row r="664" spans="6:7" x14ac:dyDescent="0.25">
      <c r="F664" s="3"/>
      <c r="G664" s="3"/>
    </row>
    <row r="665" spans="6:7" x14ac:dyDescent="0.25">
      <c r="F665" s="3"/>
      <c r="G665" s="3"/>
    </row>
    <row r="666" spans="6:7" x14ac:dyDescent="0.25">
      <c r="F666" s="3"/>
      <c r="G666" s="3"/>
    </row>
    <row r="667" spans="6:7" x14ac:dyDescent="0.25">
      <c r="F667" s="3"/>
      <c r="G667" s="3"/>
    </row>
    <row r="668" spans="6:7" x14ac:dyDescent="0.25">
      <c r="F668" s="3"/>
      <c r="G668" s="3"/>
    </row>
    <row r="669" spans="6:7" x14ac:dyDescent="0.25">
      <c r="F669" s="3"/>
      <c r="G669" s="3"/>
    </row>
    <row r="670" spans="6:7" x14ac:dyDescent="0.25">
      <c r="F670" s="3"/>
      <c r="G670" s="3"/>
    </row>
    <row r="671" spans="6:7" x14ac:dyDescent="0.25">
      <c r="F671" s="3"/>
      <c r="G671" s="3"/>
    </row>
    <row r="672" spans="6:7" x14ac:dyDescent="0.25">
      <c r="F672" s="3"/>
      <c r="G672" s="3"/>
    </row>
    <row r="673" spans="6:7" x14ac:dyDescent="0.25">
      <c r="F673" s="3"/>
      <c r="G673" s="3"/>
    </row>
    <row r="674" spans="6:7" x14ac:dyDescent="0.25">
      <c r="F674" s="3"/>
      <c r="G674" s="3"/>
    </row>
    <row r="675" spans="6:7" x14ac:dyDescent="0.25">
      <c r="F675" s="3"/>
      <c r="G675" s="3"/>
    </row>
    <row r="676" spans="6:7" x14ac:dyDescent="0.25">
      <c r="F676" s="3"/>
      <c r="G676" s="3"/>
    </row>
    <row r="677" spans="6:7" x14ac:dyDescent="0.25">
      <c r="F677" s="3"/>
      <c r="G677" s="3"/>
    </row>
    <row r="678" spans="6:7" x14ac:dyDescent="0.25">
      <c r="F678" s="3"/>
      <c r="G678" s="3"/>
    </row>
    <row r="679" spans="6:7" x14ac:dyDescent="0.25">
      <c r="F679" s="3"/>
      <c r="G679" s="3"/>
    </row>
    <row r="680" spans="6:7" x14ac:dyDescent="0.25">
      <c r="F680" s="3"/>
      <c r="G680" s="3"/>
    </row>
    <row r="681" spans="6:7" x14ac:dyDescent="0.25">
      <c r="F681" s="3"/>
      <c r="G681" s="3"/>
    </row>
    <row r="682" spans="6:7" x14ac:dyDescent="0.25">
      <c r="F682" s="3"/>
      <c r="G682" s="3"/>
    </row>
    <row r="683" spans="6:7" x14ac:dyDescent="0.25">
      <c r="F683" s="3"/>
      <c r="G683" s="3"/>
    </row>
    <row r="684" spans="6:7" x14ac:dyDescent="0.25">
      <c r="F684" s="3"/>
      <c r="G684" s="3"/>
    </row>
    <row r="685" spans="6:7" x14ac:dyDescent="0.25">
      <c r="F685" s="3"/>
      <c r="G685" s="3"/>
    </row>
    <row r="686" spans="6:7" x14ac:dyDescent="0.25">
      <c r="F686" s="3"/>
      <c r="G686" s="3"/>
    </row>
    <row r="687" spans="6:7" x14ac:dyDescent="0.25">
      <c r="F687" s="3"/>
      <c r="G687" s="3"/>
    </row>
    <row r="688" spans="6:7" x14ac:dyDescent="0.25">
      <c r="F688" s="3"/>
      <c r="G688" s="3"/>
    </row>
    <row r="689" spans="6:7" x14ac:dyDescent="0.25">
      <c r="F689" s="3"/>
      <c r="G689" s="3"/>
    </row>
    <row r="690" spans="6:7" x14ac:dyDescent="0.25">
      <c r="F690" s="3"/>
      <c r="G690" s="3"/>
    </row>
    <row r="691" spans="6:7" x14ac:dyDescent="0.25">
      <c r="F691" s="3"/>
      <c r="G691" s="3"/>
    </row>
    <row r="692" spans="6:7" x14ac:dyDescent="0.25">
      <c r="F692" s="3"/>
      <c r="G692" s="3"/>
    </row>
    <row r="693" spans="6:7" x14ac:dyDescent="0.25">
      <c r="F693" s="3"/>
      <c r="G693" s="3"/>
    </row>
    <row r="694" spans="6:7" x14ac:dyDescent="0.25">
      <c r="F694" s="3"/>
      <c r="G694" s="3"/>
    </row>
    <row r="695" spans="6:7" x14ac:dyDescent="0.25">
      <c r="F695" s="3"/>
      <c r="G695" s="3"/>
    </row>
    <row r="696" spans="6:7" x14ac:dyDescent="0.25">
      <c r="F696" s="3"/>
      <c r="G696" s="3"/>
    </row>
    <row r="697" spans="6:7" x14ac:dyDescent="0.25">
      <c r="F697" s="3"/>
      <c r="G697" s="3"/>
    </row>
    <row r="698" spans="6:7" x14ac:dyDescent="0.25">
      <c r="F698" s="3"/>
      <c r="G698" s="3"/>
    </row>
    <row r="699" spans="6:7" x14ac:dyDescent="0.25">
      <c r="F699" s="3"/>
      <c r="G699" s="3"/>
    </row>
    <row r="700" spans="6:7" x14ac:dyDescent="0.25">
      <c r="F700" s="3"/>
      <c r="G700" s="3"/>
    </row>
    <row r="701" spans="6:7" x14ac:dyDescent="0.25">
      <c r="F701" s="3"/>
      <c r="G701" s="3"/>
    </row>
    <row r="702" spans="6:7" x14ac:dyDescent="0.25">
      <c r="F702" s="3"/>
      <c r="G702" s="3"/>
    </row>
    <row r="703" spans="6:7" x14ac:dyDescent="0.25">
      <c r="F703" s="3"/>
      <c r="G703" s="3"/>
    </row>
    <row r="704" spans="6:7" x14ac:dyDescent="0.25">
      <c r="F704" s="3"/>
      <c r="G704" s="3"/>
    </row>
    <row r="705" spans="6:7" x14ac:dyDescent="0.25">
      <c r="F705" s="3"/>
      <c r="G705" s="3"/>
    </row>
    <row r="706" spans="6:7" x14ac:dyDescent="0.25">
      <c r="F706" s="3"/>
      <c r="G706" s="3"/>
    </row>
    <row r="707" spans="6:7" x14ac:dyDescent="0.25">
      <c r="F707" s="3"/>
      <c r="G707" s="3"/>
    </row>
    <row r="708" spans="6:7" x14ac:dyDescent="0.25">
      <c r="F708" s="3"/>
      <c r="G708" s="3"/>
    </row>
    <row r="709" spans="6:7" x14ac:dyDescent="0.25">
      <c r="F709" s="3"/>
      <c r="G709" s="3"/>
    </row>
    <row r="710" spans="6:7" x14ac:dyDescent="0.25">
      <c r="F710" s="3"/>
      <c r="G710" s="3"/>
    </row>
    <row r="711" spans="6:7" x14ac:dyDescent="0.25">
      <c r="F711" s="3"/>
      <c r="G711" s="3"/>
    </row>
    <row r="712" spans="6:7" x14ac:dyDescent="0.25">
      <c r="F712" s="3"/>
      <c r="G712" s="3"/>
    </row>
    <row r="713" spans="6:7" x14ac:dyDescent="0.25">
      <c r="F713" s="3"/>
      <c r="G713" s="3"/>
    </row>
    <row r="714" spans="6:7" x14ac:dyDescent="0.25">
      <c r="F714" s="3"/>
      <c r="G714" s="3"/>
    </row>
    <row r="715" spans="6:7" x14ac:dyDescent="0.25">
      <c r="F715" s="3"/>
      <c r="G715" s="3"/>
    </row>
    <row r="716" spans="6:7" x14ac:dyDescent="0.25">
      <c r="F716" s="3"/>
      <c r="G716" s="3"/>
    </row>
    <row r="717" spans="6:7" x14ac:dyDescent="0.25">
      <c r="F717" s="3"/>
      <c r="G717" s="3"/>
    </row>
    <row r="718" spans="6:7" x14ac:dyDescent="0.25">
      <c r="F718" s="3"/>
      <c r="G718" s="3"/>
    </row>
    <row r="719" spans="6:7" x14ac:dyDescent="0.25">
      <c r="F719" s="3"/>
      <c r="G719" s="3"/>
    </row>
    <row r="720" spans="6:7" x14ac:dyDescent="0.25">
      <c r="F720" s="3"/>
      <c r="G720" s="3"/>
    </row>
    <row r="721" spans="6:7" x14ac:dyDescent="0.25">
      <c r="F721" s="3"/>
      <c r="G721" s="3"/>
    </row>
    <row r="722" spans="6:7" x14ac:dyDescent="0.25">
      <c r="F722" s="3"/>
      <c r="G722" s="3"/>
    </row>
    <row r="723" spans="6:7" x14ac:dyDescent="0.25">
      <c r="F723" s="3"/>
      <c r="G723" s="3"/>
    </row>
    <row r="724" spans="6:7" x14ac:dyDescent="0.25">
      <c r="F724" s="3"/>
      <c r="G724" s="3"/>
    </row>
    <row r="725" spans="6:7" x14ac:dyDescent="0.25">
      <c r="F725" s="3"/>
      <c r="G725" s="3"/>
    </row>
    <row r="726" spans="6:7" x14ac:dyDescent="0.25">
      <c r="F726" s="3"/>
      <c r="G726" s="3"/>
    </row>
    <row r="727" spans="6:7" x14ac:dyDescent="0.25">
      <c r="F727" s="3"/>
      <c r="G727" s="3"/>
    </row>
    <row r="728" spans="6:7" x14ac:dyDescent="0.25">
      <c r="F728" s="3"/>
      <c r="G728" s="3"/>
    </row>
    <row r="729" spans="6:7" x14ac:dyDescent="0.25">
      <c r="F729" s="3"/>
      <c r="G729" s="3"/>
    </row>
    <row r="730" spans="6:7" x14ac:dyDescent="0.25">
      <c r="F730" s="3"/>
      <c r="G730" s="3"/>
    </row>
    <row r="731" spans="6:7" x14ac:dyDescent="0.25">
      <c r="F731" s="3"/>
      <c r="G731" s="3"/>
    </row>
    <row r="732" spans="6:7" x14ac:dyDescent="0.25">
      <c r="F732" s="3"/>
      <c r="G732" s="3"/>
    </row>
    <row r="733" spans="6:7" x14ac:dyDescent="0.25">
      <c r="F733" s="3"/>
      <c r="G733" s="3"/>
    </row>
    <row r="734" spans="6:7" x14ac:dyDescent="0.25">
      <c r="F734" s="3"/>
      <c r="G734" s="3"/>
    </row>
    <row r="735" spans="6:7" x14ac:dyDescent="0.25">
      <c r="F735" s="3"/>
      <c r="G735" s="3"/>
    </row>
    <row r="736" spans="6:7" x14ac:dyDescent="0.25">
      <c r="F736" s="3"/>
      <c r="G736" s="3"/>
    </row>
    <row r="737" spans="6:7" x14ac:dyDescent="0.25">
      <c r="F737" s="3"/>
      <c r="G737" s="3"/>
    </row>
    <row r="738" spans="6:7" x14ac:dyDescent="0.25">
      <c r="F738" s="3"/>
      <c r="G738" s="3"/>
    </row>
    <row r="739" spans="6:7" x14ac:dyDescent="0.25">
      <c r="F739" s="3"/>
      <c r="G739" s="3"/>
    </row>
    <row r="740" spans="6:7" x14ac:dyDescent="0.25">
      <c r="F740" s="3"/>
      <c r="G740" s="3"/>
    </row>
    <row r="741" spans="6:7" x14ac:dyDescent="0.25">
      <c r="F741" s="3"/>
      <c r="G741" s="3"/>
    </row>
    <row r="742" spans="6:7" x14ac:dyDescent="0.25">
      <c r="F742" s="3"/>
      <c r="G742" s="3"/>
    </row>
    <row r="743" spans="6:7" x14ac:dyDescent="0.25">
      <c r="F743" s="3"/>
      <c r="G743" s="3"/>
    </row>
    <row r="744" spans="6:7" x14ac:dyDescent="0.25">
      <c r="F744" s="3"/>
      <c r="G744" s="3"/>
    </row>
    <row r="745" spans="6:7" x14ac:dyDescent="0.25">
      <c r="F745" s="3"/>
      <c r="G745" s="3"/>
    </row>
    <row r="746" spans="6:7" x14ac:dyDescent="0.25">
      <c r="F746" s="3"/>
      <c r="G746" s="3"/>
    </row>
    <row r="747" spans="6:7" x14ac:dyDescent="0.25">
      <c r="F747" s="3"/>
      <c r="G747" s="3"/>
    </row>
    <row r="748" spans="6:7" x14ac:dyDescent="0.25">
      <c r="F748" s="3"/>
      <c r="G748" s="3"/>
    </row>
    <row r="749" spans="6:7" x14ac:dyDescent="0.25">
      <c r="F749" s="3"/>
      <c r="G749" s="3"/>
    </row>
    <row r="750" spans="6:7" x14ac:dyDescent="0.25">
      <c r="F750" s="3"/>
      <c r="G750" s="3"/>
    </row>
    <row r="751" spans="6:7" x14ac:dyDescent="0.25">
      <c r="F751" s="3"/>
      <c r="G751" s="3"/>
    </row>
    <row r="752" spans="6:7" x14ac:dyDescent="0.25">
      <c r="F752" s="3"/>
      <c r="G752" s="3"/>
    </row>
    <row r="753" spans="6:7" x14ac:dyDescent="0.25">
      <c r="F753" s="3"/>
      <c r="G753" s="3"/>
    </row>
    <row r="754" spans="6:7" x14ac:dyDescent="0.25">
      <c r="F754" s="3"/>
      <c r="G754" s="3"/>
    </row>
    <row r="755" spans="6:7" x14ac:dyDescent="0.25">
      <c r="F755" s="3"/>
      <c r="G755" s="3"/>
    </row>
    <row r="756" spans="6:7" x14ac:dyDescent="0.25">
      <c r="F756" s="3"/>
      <c r="G756" s="3"/>
    </row>
    <row r="757" spans="6:7" x14ac:dyDescent="0.25">
      <c r="F757" s="3"/>
      <c r="G757" s="3"/>
    </row>
    <row r="758" spans="6:7" x14ac:dyDescent="0.25">
      <c r="F758" s="3"/>
      <c r="G758" s="3"/>
    </row>
    <row r="759" spans="6:7" x14ac:dyDescent="0.25">
      <c r="F759" s="3"/>
      <c r="G759" s="3"/>
    </row>
    <row r="760" spans="6:7" x14ac:dyDescent="0.25">
      <c r="F760" s="3"/>
      <c r="G760" s="3"/>
    </row>
    <row r="761" spans="6:7" x14ac:dyDescent="0.25">
      <c r="F761" s="3"/>
      <c r="G761" s="3"/>
    </row>
    <row r="762" spans="6:7" x14ac:dyDescent="0.25">
      <c r="F762" s="3"/>
      <c r="G762" s="3"/>
    </row>
    <row r="763" spans="6:7" x14ac:dyDescent="0.25">
      <c r="F763" s="3"/>
      <c r="G763" s="3"/>
    </row>
    <row r="764" spans="6:7" x14ac:dyDescent="0.25">
      <c r="F764" s="3"/>
      <c r="G764" s="3"/>
    </row>
    <row r="765" spans="6:7" x14ac:dyDescent="0.25">
      <c r="F765" s="3"/>
      <c r="G765" s="3"/>
    </row>
    <row r="766" spans="6:7" x14ac:dyDescent="0.25">
      <c r="F766" s="3"/>
      <c r="G766" s="3"/>
    </row>
    <row r="767" spans="6:7" x14ac:dyDescent="0.25">
      <c r="F767" s="3"/>
      <c r="G767" s="3"/>
    </row>
    <row r="768" spans="6:7" x14ac:dyDescent="0.25">
      <c r="F768" s="3"/>
      <c r="G768" s="3"/>
    </row>
    <row r="769" spans="6:7" x14ac:dyDescent="0.25">
      <c r="F769" s="3"/>
      <c r="G769" s="3"/>
    </row>
    <row r="770" spans="6:7" x14ac:dyDescent="0.25">
      <c r="F770" s="3"/>
      <c r="G770" s="3"/>
    </row>
    <row r="771" spans="6:7" x14ac:dyDescent="0.25">
      <c r="F771" s="3"/>
      <c r="G771" s="3"/>
    </row>
    <row r="772" spans="6:7" x14ac:dyDescent="0.25">
      <c r="F772" s="3"/>
      <c r="G772" s="3"/>
    </row>
    <row r="773" spans="6:7" x14ac:dyDescent="0.25">
      <c r="F773" s="3"/>
      <c r="G773" s="3"/>
    </row>
    <row r="774" spans="6:7" x14ac:dyDescent="0.25">
      <c r="F774" s="3"/>
      <c r="G774" s="3"/>
    </row>
    <row r="775" spans="6:7" x14ac:dyDescent="0.25">
      <c r="F775" s="3"/>
      <c r="G775" s="3"/>
    </row>
    <row r="776" spans="6:7" x14ac:dyDescent="0.25">
      <c r="F776" s="3"/>
      <c r="G776" s="3"/>
    </row>
    <row r="777" spans="6:7" x14ac:dyDescent="0.25">
      <c r="F777" s="3"/>
      <c r="G777" s="3"/>
    </row>
    <row r="778" spans="6:7" x14ac:dyDescent="0.25">
      <c r="F778" s="3"/>
      <c r="G778" s="3"/>
    </row>
    <row r="779" spans="6:7" x14ac:dyDescent="0.25">
      <c r="F779" s="3"/>
      <c r="G779" s="3"/>
    </row>
    <row r="780" spans="6:7" x14ac:dyDescent="0.25">
      <c r="F780" s="3"/>
      <c r="G780" s="3"/>
    </row>
    <row r="781" spans="6:7" x14ac:dyDescent="0.25">
      <c r="F781" s="3"/>
      <c r="G781" s="3"/>
    </row>
    <row r="782" spans="6:7" x14ac:dyDescent="0.25">
      <c r="F782" s="3"/>
      <c r="G782" s="3"/>
    </row>
    <row r="783" spans="6:7" x14ac:dyDescent="0.25">
      <c r="F783" s="3"/>
      <c r="G783" s="3"/>
    </row>
    <row r="784" spans="6:7" x14ac:dyDescent="0.25">
      <c r="F784" s="3"/>
      <c r="G784" s="3"/>
    </row>
    <row r="785" spans="6:7" x14ac:dyDescent="0.25">
      <c r="F785" s="3"/>
      <c r="G785" s="3"/>
    </row>
    <row r="786" spans="6:7" x14ac:dyDescent="0.25">
      <c r="F786" s="3"/>
      <c r="G786" s="3"/>
    </row>
    <row r="787" spans="6:7" x14ac:dyDescent="0.25">
      <c r="F787" s="3"/>
      <c r="G787" s="3"/>
    </row>
    <row r="788" spans="6:7" x14ac:dyDescent="0.25">
      <c r="F788" s="3"/>
      <c r="G788" s="3"/>
    </row>
    <row r="789" spans="6:7" x14ac:dyDescent="0.25">
      <c r="F789" s="3"/>
      <c r="G789" s="3"/>
    </row>
    <row r="790" spans="6:7" x14ac:dyDescent="0.25">
      <c r="F790" s="3"/>
      <c r="G790" s="3"/>
    </row>
    <row r="791" spans="6:7" x14ac:dyDescent="0.25">
      <c r="F791" s="3"/>
      <c r="G791" s="3"/>
    </row>
    <row r="792" spans="6:7" x14ac:dyDescent="0.25">
      <c r="F792" s="3"/>
      <c r="G792" s="3"/>
    </row>
    <row r="793" spans="6:7" x14ac:dyDescent="0.25">
      <c r="F793" s="3"/>
      <c r="G793" s="3"/>
    </row>
    <row r="794" spans="6:7" x14ac:dyDescent="0.25">
      <c r="F794" s="3"/>
      <c r="G794" s="3"/>
    </row>
    <row r="795" spans="6:7" x14ac:dyDescent="0.25">
      <c r="F795" s="3"/>
      <c r="G795" s="3"/>
    </row>
    <row r="796" spans="6:7" x14ac:dyDescent="0.25">
      <c r="F796" s="3"/>
      <c r="G796" s="3"/>
    </row>
    <row r="797" spans="6:7" x14ac:dyDescent="0.25">
      <c r="F797" s="3"/>
      <c r="G797" s="3"/>
    </row>
    <row r="798" spans="6:7" x14ac:dyDescent="0.25">
      <c r="F798" s="3"/>
      <c r="G798" s="3"/>
    </row>
    <row r="799" spans="6:7" x14ac:dyDescent="0.25">
      <c r="F799" s="3"/>
      <c r="G799" s="3"/>
    </row>
    <row r="800" spans="6:7" x14ac:dyDescent="0.25">
      <c r="F800" s="3"/>
      <c r="G800" s="3"/>
    </row>
    <row r="801" spans="6:7" x14ac:dyDescent="0.25">
      <c r="F801" s="3"/>
      <c r="G801" s="3"/>
    </row>
    <row r="802" spans="6:7" x14ac:dyDescent="0.25">
      <c r="F802" s="3"/>
      <c r="G802" s="3"/>
    </row>
    <row r="803" spans="6:7" x14ac:dyDescent="0.25">
      <c r="F803" s="3"/>
      <c r="G803" s="3"/>
    </row>
    <row r="804" spans="6:7" x14ac:dyDescent="0.25">
      <c r="F804" s="3"/>
      <c r="G804" s="3"/>
    </row>
    <row r="805" spans="6:7" x14ac:dyDescent="0.25">
      <c r="F805" s="3"/>
      <c r="G805" s="3"/>
    </row>
    <row r="806" spans="6:7" x14ac:dyDescent="0.25">
      <c r="F806" s="3"/>
      <c r="G806" s="3"/>
    </row>
    <row r="807" spans="6:7" x14ac:dyDescent="0.25">
      <c r="F807" s="3"/>
      <c r="G807" s="3"/>
    </row>
    <row r="808" spans="6:7" x14ac:dyDescent="0.25">
      <c r="F808" s="3"/>
      <c r="G808" s="3"/>
    </row>
    <row r="809" spans="6:7" x14ac:dyDescent="0.25">
      <c r="F809" s="3"/>
      <c r="G809" s="3"/>
    </row>
    <row r="810" spans="6:7" x14ac:dyDescent="0.25">
      <c r="F810" s="3"/>
      <c r="G810" s="3"/>
    </row>
    <row r="811" spans="6:7" x14ac:dyDescent="0.25">
      <c r="F811" s="3"/>
      <c r="G811" s="3"/>
    </row>
    <row r="812" spans="6:7" x14ac:dyDescent="0.25">
      <c r="F812" s="3"/>
      <c r="G812" s="3"/>
    </row>
    <row r="813" spans="6:7" x14ac:dyDescent="0.25">
      <c r="F813" s="3"/>
      <c r="G813" s="3"/>
    </row>
    <row r="814" spans="6:7" x14ac:dyDescent="0.25">
      <c r="F814" s="3"/>
      <c r="G814" s="3"/>
    </row>
    <row r="815" spans="6:7" x14ac:dyDescent="0.25">
      <c r="F815" s="3"/>
      <c r="G815" s="3"/>
    </row>
    <row r="816" spans="6:7" x14ac:dyDescent="0.25">
      <c r="F816" s="3"/>
      <c r="G816" s="3"/>
    </row>
    <row r="817" spans="6:7" x14ac:dyDescent="0.25">
      <c r="F817" s="3"/>
      <c r="G817" s="3"/>
    </row>
    <row r="818" spans="6:7" x14ac:dyDescent="0.25">
      <c r="F818" s="3"/>
      <c r="G818" s="3"/>
    </row>
    <row r="819" spans="6:7" x14ac:dyDescent="0.25">
      <c r="F819" s="3"/>
      <c r="G819" s="3"/>
    </row>
    <row r="820" spans="6:7" x14ac:dyDescent="0.25">
      <c r="F820" s="3"/>
      <c r="G820" s="3"/>
    </row>
    <row r="821" spans="6:7" x14ac:dyDescent="0.25">
      <c r="F821" s="3"/>
      <c r="G821" s="3"/>
    </row>
    <row r="822" spans="6:7" x14ac:dyDescent="0.25">
      <c r="F822" s="3"/>
      <c r="G822" s="3"/>
    </row>
    <row r="823" spans="6:7" x14ac:dyDescent="0.25">
      <c r="F823" s="3"/>
      <c r="G823" s="3"/>
    </row>
    <row r="824" spans="6:7" x14ac:dyDescent="0.25">
      <c r="F824" s="3"/>
      <c r="G824" s="3"/>
    </row>
    <row r="825" spans="6:7" x14ac:dyDescent="0.25">
      <c r="F825" s="3"/>
      <c r="G825" s="3"/>
    </row>
    <row r="826" spans="6:7" x14ac:dyDescent="0.25">
      <c r="F826" s="3"/>
      <c r="G826" s="3"/>
    </row>
    <row r="827" spans="6:7" x14ac:dyDescent="0.25">
      <c r="F827" s="3"/>
      <c r="G827" s="3"/>
    </row>
    <row r="828" spans="6:7" x14ac:dyDescent="0.25">
      <c r="F828" s="3"/>
      <c r="G828" s="3"/>
    </row>
    <row r="829" spans="6:7" x14ac:dyDescent="0.25">
      <c r="F829" s="3"/>
      <c r="G829" s="3"/>
    </row>
    <row r="830" spans="6:7" x14ac:dyDescent="0.25">
      <c r="F830" s="3"/>
      <c r="G830" s="3"/>
    </row>
    <row r="831" spans="6:7" x14ac:dyDescent="0.25">
      <c r="F831" s="3"/>
      <c r="G831" s="3"/>
    </row>
    <row r="832" spans="6:7" x14ac:dyDescent="0.25">
      <c r="F832" s="3"/>
      <c r="G832" s="3"/>
    </row>
    <row r="833" spans="6:7" x14ac:dyDescent="0.25">
      <c r="F833" s="3"/>
      <c r="G833" s="3"/>
    </row>
    <row r="834" spans="6:7" x14ac:dyDescent="0.25">
      <c r="F834" s="3"/>
      <c r="G834" s="3"/>
    </row>
    <row r="835" spans="6:7" x14ac:dyDescent="0.25">
      <c r="F835" s="3"/>
      <c r="G835" s="3"/>
    </row>
    <row r="836" spans="6:7" x14ac:dyDescent="0.25">
      <c r="F836" s="3"/>
      <c r="G836" s="3"/>
    </row>
    <row r="837" spans="6:7" x14ac:dyDescent="0.25">
      <c r="F837" s="3"/>
      <c r="G837" s="3"/>
    </row>
    <row r="838" spans="6:7" x14ac:dyDescent="0.25">
      <c r="F838" s="3"/>
      <c r="G838" s="3"/>
    </row>
    <row r="839" spans="6:7" x14ac:dyDescent="0.25">
      <c r="F839" s="3"/>
      <c r="G839" s="3"/>
    </row>
    <row r="840" spans="6:7" x14ac:dyDescent="0.25">
      <c r="F840" s="3"/>
      <c r="G840" s="3"/>
    </row>
    <row r="841" spans="6:7" x14ac:dyDescent="0.25">
      <c r="F841" s="3"/>
      <c r="G841" s="3"/>
    </row>
    <row r="842" spans="6:7" x14ac:dyDescent="0.25">
      <c r="F842" s="3"/>
      <c r="G842" s="3"/>
    </row>
    <row r="843" spans="6:7" x14ac:dyDescent="0.25">
      <c r="F843" s="3"/>
      <c r="G843" s="3"/>
    </row>
    <row r="844" spans="6:7" x14ac:dyDescent="0.25">
      <c r="F844" s="3"/>
      <c r="G844" s="3"/>
    </row>
    <row r="845" spans="6:7" x14ac:dyDescent="0.25">
      <c r="F845" s="3"/>
      <c r="G845" s="3"/>
    </row>
    <row r="846" spans="6:7" x14ac:dyDescent="0.25">
      <c r="F846" s="3"/>
      <c r="G846" s="3"/>
    </row>
    <row r="847" spans="6:7" x14ac:dyDescent="0.25">
      <c r="F847" s="3"/>
      <c r="G847" s="3"/>
    </row>
    <row r="848" spans="6:7" x14ac:dyDescent="0.25">
      <c r="F848" s="3"/>
      <c r="G848" s="3"/>
    </row>
    <row r="849" spans="6:7" x14ac:dyDescent="0.25">
      <c r="F849" s="3"/>
      <c r="G849" s="3"/>
    </row>
    <row r="850" spans="6:7" x14ac:dyDescent="0.25">
      <c r="F850" s="3"/>
      <c r="G850" s="3"/>
    </row>
    <row r="851" spans="6:7" x14ac:dyDescent="0.25">
      <c r="F851" s="3"/>
      <c r="G851" s="3"/>
    </row>
    <row r="852" spans="6:7" x14ac:dyDescent="0.25">
      <c r="F852" s="3"/>
      <c r="G852" s="3"/>
    </row>
    <row r="853" spans="6:7" x14ac:dyDescent="0.25">
      <c r="F853" s="3"/>
      <c r="G853" s="3"/>
    </row>
    <row r="854" spans="6:7" x14ac:dyDescent="0.25">
      <c r="F854" s="3"/>
      <c r="G854" s="3"/>
    </row>
    <row r="855" spans="6:7" x14ac:dyDescent="0.25">
      <c r="F855" s="3"/>
      <c r="G855" s="3"/>
    </row>
    <row r="856" spans="6:7" x14ac:dyDescent="0.25">
      <c r="F856" s="3"/>
      <c r="G856" s="3"/>
    </row>
    <row r="857" spans="6:7" x14ac:dyDescent="0.25">
      <c r="F857" s="3"/>
      <c r="G857" s="3"/>
    </row>
    <row r="858" spans="6:7" x14ac:dyDescent="0.25">
      <c r="F858" s="3"/>
      <c r="G858" s="3"/>
    </row>
    <row r="859" spans="6:7" x14ac:dyDescent="0.25">
      <c r="F859" s="3"/>
      <c r="G859" s="3"/>
    </row>
    <row r="860" spans="6:7" x14ac:dyDescent="0.25">
      <c r="F860" s="3"/>
      <c r="G860" s="3"/>
    </row>
    <row r="861" spans="6:7" x14ac:dyDescent="0.25">
      <c r="F861" s="3"/>
      <c r="G861" s="3"/>
    </row>
    <row r="862" spans="6:7" x14ac:dyDescent="0.25">
      <c r="F862" s="3"/>
      <c r="G862" s="3"/>
    </row>
    <row r="863" spans="6:7" x14ac:dyDescent="0.25">
      <c r="F863" s="3"/>
      <c r="G863" s="3"/>
    </row>
    <row r="864" spans="6:7" x14ac:dyDescent="0.25">
      <c r="F864" s="3"/>
      <c r="G864" s="3"/>
    </row>
    <row r="865" spans="6:7" x14ac:dyDescent="0.25">
      <c r="F865" s="3"/>
      <c r="G865" s="3"/>
    </row>
    <row r="866" spans="6:7" x14ac:dyDescent="0.25">
      <c r="F866" s="3"/>
      <c r="G866" s="3"/>
    </row>
    <row r="867" spans="6:7" x14ac:dyDescent="0.25">
      <c r="F867" s="3"/>
      <c r="G867" s="3"/>
    </row>
    <row r="868" spans="6:7" x14ac:dyDescent="0.25">
      <c r="F868" s="3"/>
      <c r="G868" s="3"/>
    </row>
    <row r="869" spans="6:7" x14ac:dyDescent="0.25">
      <c r="F869" s="3"/>
      <c r="G869" s="3"/>
    </row>
    <row r="870" spans="6:7" x14ac:dyDescent="0.25">
      <c r="F870" s="3"/>
      <c r="G870" s="3"/>
    </row>
    <row r="871" spans="6:7" x14ac:dyDescent="0.25">
      <c r="F871" s="3"/>
      <c r="G871" s="3"/>
    </row>
    <row r="872" spans="6:7" x14ac:dyDescent="0.25">
      <c r="F872" s="3"/>
      <c r="G872" s="3"/>
    </row>
    <row r="873" spans="6:7" x14ac:dyDescent="0.25">
      <c r="F873" s="3"/>
      <c r="G873" s="3"/>
    </row>
    <row r="874" spans="6:7" x14ac:dyDescent="0.25">
      <c r="F874" s="3"/>
      <c r="G874" s="3"/>
    </row>
    <row r="875" spans="6:7" x14ac:dyDescent="0.25">
      <c r="F875" s="3"/>
      <c r="G875" s="3"/>
    </row>
    <row r="876" spans="6:7" x14ac:dyDescent="0.25">
      <c r="F876" s="3"/>
      <c r="G876" s="3"/>
    </row>
    <row r="877" spans="6:7" x14ac:dyDescent="0.25">
      <c r="F877" s="3"/>
      <c r="G877" s="3"/>
    </row>
    <row r="878" spans="6:7" x14ac:dyDescent="0.25">
      <c r="F878" s="3"/>
      <c r="G878" s="3"/>
    </row>
    <row r="879" spans="6:7" x14ac:dyDescent="0.25">
      <c r="F879" s="3"/>
      <c r="G879" s="3"/>
    </row>
    <row r="880" spans="6:7" x14ac:dyDescent="0.25">
      <c r="F880" s="3"/>
      <c r="G880" s="3"/>
    </row>
    <row r="881" spans="6:7" x14ac:dyDescent="0.25">
      <c r="F881" s="3"/>
      <c r="G881" s="3"/>
    </row>
    <row r="882" spans="6:7" x14ac:dyDescent="0.25">
      <c r="F882" s="3"/>
      <c r="G882" s="3"/>
    </row>
    <row r="883" spans="6:7" x14ac:dyDescent="0.25">
      <c r="F883" s="3"/>
      <c r="G883" s="3"/>
    </row>
    <row r="884" spans="6:7" x14ac:dyDescent="0.25">
      <c r="F884" s="3"/>
      <c r="G884" s="3"/>
    </row>
    <row r="885" spans="6:7" x14ac:dyDescent="0.25">
      <c r="F885" s="3"/>
      <c r="G885" s="3"/>
    </row>
    <row r="886" spans="6:7" x14ac:dyDescent="0.25">
      <c r="F886" s="3"/>
      <c r="G886" s="3"/>
    </row>
    <row r="887" spans="6:7" x14ac:dyDescent="0.25">
      <c r="F887" s="3"/>
      <c r="G887" s="3"/>
    </row>
    <row r="888" spans="6:7" x14ac:dyDescent="0.25">
      <c r="F888" s="3"/>
      <c r="G888" s="3"/>
    </row>
    <row r="889" spans="6:7" x14ac:dyDescent="0.25">
      <c r="F889" s="3"/>
      <c r="G889" s="3"/>
    </row>
    <row r="890" spans="6:7" x14ac:dyDescent="0.25">
      <c r="F890" s="3"/>
      <c r="G890" s="3"/>
    </row>
    <row r="891" spans="6:7" x14ac:dyDescent="0.25">
      <c r="F891" s="3"/>
      <c r="G891" s="3"/>
    </row>
    <row r="892" spans="6:7" x14ac:dyDescent="0.25">
      <c r="F892" s="3"/>
      <c r="G892" s="3"/>
    </row>
    <row r="893" spans="6:7" x14ac:dyDescent="0.25">
      <c r="F893" s="3"/>
      <c r="G893" s="3"/>
    </row>
    <row r="894" spans="6:7" x14ac:dyDescent="0.25">
      <c r="F894" s="3"/>
      <c r="G894" s="3"/>
    </row>
    <row r="895" spans="6:7" x14ac:dyDescent="0.25">
      <c r="F895" s="3"/>
      <c r="G895" s="3"/>
    </row>
    <row r="896" spans="6:7" x14ac:dyDescent="0.25">
      <c r="F896" s="3"/>
      <c r="G896" s="3"/>
    </row>
    <row r="897" spans="6:7" x14ac:dyDescent="0.25">
      <c r="F897" s="3"/>
      <c r="G897" s="3"/>
    </row>
    <row r="898" spans="6:7" x14ac:dyDescent="0.25">
      <c r="F898" s="3"/>
      <c r="G898" s="3"/>
    </row>
    <row r="899" spans="6:7" x14ac:dyDescent="0.25">
      <c r="F899" s="3"/>
      <c r="G899" s="3"/>
    </row>
    <row r="900" spans="6:7" x14ac:dyDescent="0.25">
      <c r="F900" s="3"/>
      <c r="G900" s="3"/>
    </row>
    <row r="901" spans="6:7" x14ac:dyDescent="0.25">
      <c r="F901" s="3"/>
      <c r="G901" s="3"/>
    </row>
    <row r="902" spans="6:7" x14ac:dyDescent="0.25">
      <c r="F902" s="3"/>
      <c r="G902" s="3"/>
    </row>
    <row r="903" spans="6:7" x14ac:dyDescent="0.25">
      <c r="F903" s="3"/>
      <c r="G903" s="3"/>
    </row>
    <row r="904" spans="6:7" x14ac:dyDescent="0.25">
      <c r="F904" s="3"/>
      <c r="G904" s="3"/>
    </row>
    <row r="905" spans="6:7" x14ac:dyDescent="0.25">
      <c r="F905" s="3"/>
      <c r="G905" s="3"/>
    </row>
    <row r="906" spans="6:7" x14ac:dyDescent="0.25">
      <c r="F906" s="3"/>
      <c r="G906" s="3"/>
    </row>
    <row r="907" spans="6:7" x14ac:dyDescent="0.25">
      <c r="F907" s="3"/>
      <c r="G907" s="3"/>
    </row>
    <row r="908" spans="6:7" x14ac:dyDescent="0.25">
      <c r="F908" s="3"/>
      <c r="G908" s="3"/>
    </row>
    <row r="909" spans="6:7" x14ac:dyDescent="0.25">
      <c r="F909" s="3"/>
      <c r="G909" s="3"/>
    </row>
    <row r="910" spans="6:7" x14ac:dyDescent="0.25">
      <c r="F910" s="3"/>
      <c r="G910" s="3"/>
    </row>
    <row r="911" spans="6:7" x14ac:dyDescent="0.25">
      <c r="F911" s="3"/>
      <c r="G911" s="3"/>
    </row>
    <row r="912" spans="6:7" x14ac:dyDescent="0.25">
      <c r="F912" s="3"/>
      <c r="G912" s="3"/>
    </row>
    <row r="913" spans="6:7" x14ac:dyDescent="0.25">
      <c r="F913" s="3"/>
      <c r="G913" s="3"/>
    </row>
    <row r="914" spans="6:7" x14ac:dyDescent="0.25">
      <c r="F914" s="3"/>
      <c r="G914" s="3"/>
    </row>
    <row r="915" spans="6:7" x14ac:dyDescent="0.25">
      <c r="F915" s="3"/>
      <c r="G915" s="3"/>
    </row>
    <row r="916" spans="6:7" x14ac:dyDescent="0.25">
      <c r="F916" s="3"/>
      <c r="G916" s="3"/>
    </row>
    <row r="917" spans="6:7" x14ac:dyDescent="0.25">
      <c r="F917" s="3"/>
      <c r="G917" s="3"/>
    </row>
    <row r="918" spans="6:7" x14ac:dyDescent="0.25">
      <c r="F918" s="3"/>
      <c r="G918" s="3"/>
    </row>
    <row r="919" spans="6:7" x14ac:dyDescent="0.25">
      <c r="F919" s="3"/>
      <c r="G919" s="3"/>
    </row>
    <row r="920" spans="6:7" x14ac:dyDescent="0.25">
      <c r="F920" s="3"/>
      <c r="G920" s="3"/>
    </row>
    <row r="921" spans="6:7" x14ac:dyDescent="0.25">
      <c r="F921" s="3"/>
      <c r="G921" s="3"/>
    </row>
    <row r="922" spans="6:7" x14ac:dyDescent="0.25">
      <c r="F922" s="3"/>
      <c r="G922" s="3"/>
    </row>
    <row r="923" spans="6:7" x14ac:dyDescent="0.25">
      <c r="F923" s="3"/>
      <c r="G923" s="3"/>
    </row>
    <row r="924" spans="6:7" x14ac:dyDescent="0.25">
      <c r="F924" s="3"/>
      <c r="G924" s="3"/>
    </row>
    <row r="925" spans="6:7" x14ac:dyDescent="0.25">
      <c r="F925" s="3"/>
      <c r="G925" s="3"/>
    </row>
    <row r="926" spans="6:7" x14ac:dyDescent="0.25">
      <c r="F926" s="3"/>
      <c r="G926" s="3"/>
    </row>
    <row r="927" spans="6:7" x14ac:dyDescent="0.25">
      <c r="F927" s="3"/>
      <c r="G927" s="3"/>
    </row>
    <row r="928" spans="6:7" x14ac:dyDescent="0.25">
      <c r="F928" s="3"/>
      <c r="G928" s="3"/>
    </row>
    <row r="929" spans="6:7" x14ac:dyDescent="0.25">
      <c r="F929" s="3"/>
      <c r="G929" s="3"/>
    </row>
    <row r="930" spans="6:7" x14ac:dyDescent="0.25">
      <c r="F930" s="3"/>
      <c r="G930" s="3"/>
    </row>
    <row r="931" spans="6:7" x14ac:dyDescent="0.25">
      <c r="F931" s="3"/>
      <c r="G931" s="3"/>
    </row>
    <row r="932" spans="6:7" x14ac:dyDescent="0.25">
      <c r="F932" s="3"/>
      <c r="G932" s="3"/>
    </row>
    <row r="933" spans="6:7" x14ac:dyDescent="0.25">
      <c r="F933" s="3"/>
      <c r="G933" s="3"/>
    </row>
    <row r="934" spans="6:7" x14ac:dyDescent="0.25">
      <c r="F934" s="3"/>
      <c r="G934" s="3"/>
    </row>
    <row r="935" spans="6:7" x14ac:dyDescent="0.25">
      <c r="F935" s="3"/>
      <c r="G935" s="3"/>
    </row>
    <row r="936" spans="6:7" x14ac:dyDescent="0.25">
      <c r="F936" s="3"/>
      <c r="G936" s="3"/>
    </row>
    <row r="937" spans="6:7" x14ac:dyDescent="0.25">
      <c r="F937" s="3"/>
      <c r="G937" s="3"/>
    </row>
    <row r="938" spans="6:7" x14ac:dyDescent="0.25">
      <c r="F938" s="3"/>
      <c r="G938" s="3"/>
    </row>
    <row r="939" spans="6:7" x14ac:dyDescent="0.25">
      <c r="F939" s="3"/>
      <c r="G939" s="3"/>
    </row>
    <row r="940" spans="6:7" x14ac:dyDescent="0.25">
      <c r="F940" s="3"/>
      <c r="G940" s="3"/>
    </row>
    <row r="941" spans="6:7" x14ac:dyDescent="0.25">
      <c r="F941" s="3"/>
      <c r="G941" s="3"/>
    </row>
    <row r="942" spans="6:7" x14ac:dyDescent="0.25">
      <c r="F942" s="3"/>
      <c r="G942" s="3"/>
    </row>
    <row r="943" spans="6:7" x14ac:dyDescent="0.25">
      <c r="F943" s="3"/>
      <c r="G943" s="3"/>
    </row>
    <row r="944" spans="6:7" x14ac:dyDescent="0.25">
      <c r="F944" s="3"/>
      <c r="G944" s="3"/>
    </row>
    <row r="945" spans="6:7" x14ac:dyDescent="0.25">
      <c r="F945" s="3"/>
      <c r="G945" s="3"/>
    </row>
    <row r="946" spans="6:7" x14ac:dyDescent="0.25">
      <c r="F946" s="3"/>
      <c r="G946" s="3"/>
    </row>
    <row r="947" spans="6:7" x14ac:dyDescent="0.25">
      <c r="F947" s="3"/>
      <c r="G947" s="3"/>
    </row>
    <row r="948" spans="6:7" x14ac:dyDescent="0.25">
      <c r="F948" s="3"/>
      <c r="G948" s="3"/>
    </row>
    <row r="949" spans="6:7" x14ac:dyDescent="0.25">
      <c r="F949" s="3"/>
      <c r="G949" s="3"/>
    </row>
    <row r="950" spans="6:7" x14ac:dyDescent="0.25">
      <c r="F950" s="3"/>
      <c r="G950" s="3"/>
    </row>
    <row r="951" spans="6:7" x14ac:dyDescent="0.25">
      <c r="F951" s="3"/>
      <c r="G951" s="3"/>
    </row>
    <row r="952" spans="6:7" x14ac:dyDescent="0.25">
      <c r="F952" s="3"/>
      <c r="G952" s="3"/>
    </row>
    <row r="953" spans="6:7" x14ac:dyDescent="0.25">
      <c r="F953" s="3"/>
      <c r="G953" s="3"/>
    </row>
    <row r="954" spans="6:7" x14ac:dyDescent="0.25">
      <c r="F954" s="3"/>
      <c r="G954" s="3"/>
    </row>
    <row r="955" spans="6:7" x14ac:dyDescent="0.25">
      <c r="F955" s="3"/>
      <c r="G955" s="3"/>
    </row>
    <row r="956" spans="6:7" x14ac:dyDescent="0.25">
      <c r="F956" s="3"/>
      <c r="G956" s="3"/>
    </row>
    <row r="957" spans="6:7" x14ac:dyDescent="0.25">
      <c r="F957" s="3"/>
      <c r="G957" s="3"/>
    </row>
    <row r="958" spans="6:7" x14ac:dyDescent="0.25">
      <c r="F958" s="3"/>
      <c r="G958" s="3"/>
    </row>
    <row r="959" spans="6:7" x14ac:dyDescent="0.25">
      <c r="F959" s="3"/>
      <c r="G959" s="3"/>
    </row>
    <row r="960" spans="6:7" x14ac:dyDescent="0.25">
      <c r="F960" s="3"/>
      <c r="G960" s="3"/>
    </row>
    <row r="961" spans="6:7" x14ac:dyDescent="0.25">
      <c r="F961" s="3"/>
      <c r="G961" s="3"/>
    </row>
    <row r="962" spans="6:7" x14ac:dyDescent="0.25">
      <c r="F962" s="3"/>
      <c r="G962" s="3"/>
    </row>
    <row r="963" spans="6:7" x14ac:dyDescent="0.25">
      <c r="F963" s="3"/>
      <c r="G963" s="3"/>
    </row>
    <row r="964" spans="6:7" x14ac:dyDescent="0.25">
      <c r="F964" s="3"/>
      <c r="G964" s="3"/>
    </row>
    <row r="965" spans="6:7" x14ac:dyDescent="0.25">
      <c r="F965" s="3"/>
      <c r="G965" s="3"/>
    </row>
    <row r="966" spans="6:7" x14ac:dyDescent="0.25">
      <c r="F966" s="3"/>
      <c r="G966" s="3"/>
    </row>
    <row r="967" spans="6:7" x14ac:dyDescent="0.25">
      <c r="F967" s="3"/>
      <c r="G967" s="3"/>
    </row>
    <row r="968" spans="6:7" x14ac:dyDescent="0.25">
      <c r="F968" s="3"/>
      <c r="G968" s="3"/>
    </row>
    <row r="969" spans="6:7" x14ac:dyDescent="0.25">
      <c r="F969" s="3"/>
      <c r="G969" s="3"/>
    </row>
    <row r="970" spans="6:7" x14ac:dyDescent="0.25">
      <c r="F970" s="3"/>
      <c r="G970" s="3"/>
    </row>
    <row r="971" spans="6:7" x14ac:dyDescent="0.25">
      <c r="F971" s="3"/>
      <c r="G971" s="3"/>
    </row>
    <row r="972" spans="6:7" x14ac:dyDescent="0.25">
      <c r="F972" s="3"/>
      <c r="G972" s="3"/>
    </row>
    <row r="973" spans="6:7" x14ac:dyDescent="0.25">
      <c r="F973" s="3"/>
      <c r="G973" s="3"/>
    </row>
    <row r="974" spans="6:7" x14ac:dyDescent="0.25">
      <c r="F974" s="3"/>
      <c r="G974" s="3"/>
    </row>
    <row r="975" spans="6:7" x14ac:dyDescent="0.25">
      <c r="F975" s="3"/>
      <c r="G975" s="3"/>
    </row>
    <row r="976" spans="6:7" x14ac:dyDescent="0.25">
      <c r="F976" s="3"/>
      <c r="G976" s="3"/>
    </row>
    <row r="977" spans="6:7" x14ac:dyDescent="0.25">
      <c r="F977" s="3"/>
      <c r="G977" s="3"/>
    </row>
    <row r="978" spans="6:7" x14ac:dyDescent="0.25">
      <c r="F978" s="3"/>
      <c r="G978" s="3"/>
    </row>
    <row r="979" spans="6:7" x14ac:dyDescent="0.25">
      <c r="F979" s="3"/>
      <c r="G979" s="3"/>
    </row>
    <row r="980" spans="6:7" x14ac:dyDescent="0.25">
      <c r="F980" s="3"/>
      <c r="G980" s="3"/>
    </row>
    <row r="981" spans="6:7" x14ac:dyDescent="0.25">
      <c r="F981" s="3"/>
      <c r="G981" s="3"/>
    </row>
    <row r="982" spans="6:7" x14ac:dyDescent="0.25">
      <c r="F982" s="3"/>
      <c r="G982" s="3"/>
    </row>
    <row r="983" spans="6:7" x14ac:dyDescent="0.25">
      <c r="F983" s="3"/>
      <c r="G983" s="3"/>
    </row>
    <row r="984" spans="6:7" x14ac:dyDescent="0.25">
      <c r="F984" s="3"/>
      <c r="G984" s="3"/>
    </row>
    <row r="985" spans="6:7" x14ac:dyDescent="0.25">
      <c r="F985" s="3"/>
      <c r="G985" s="3"/>
    </row>
    <row r="986" spans="6:7" x14ac:dyDescent="0.25">
      <c r="F986" s="3"/>
      <c r="G986" s="3"/>
    </row>
    <row r="987" spans="6:7" x14ac:dyDescent="0.25">
      <c r="F987" s="3"/>
      <c r="G987" s="3"/>
    </row>
    <row r="988" spans="6:7" x14ac:dyDescent="0.25">
      <c r="F988" s="3"/>
      <c r="G988" s="3"/>
    </row>
    <row r="989" spans="6:7" x14ac:dyDescent="0.25">
      <c r="F989" s="3"/>
      <c r="G989" s="3"/>
    </row>
    <row r="990" spans="6:7" x14ac:dyDescent="0.25">
      <c r="F990" s="3"/>
      <c r="G990" s="3"/>
    </row>
    <row r="991" spans="6:7" x14ac:dyDescent="0.25">
      <c r="F991" s="3"/>
      <c r="G991" s="3"/>
    </row>
    <row r="992" spans="6:7" x14ac:dyDescent="0.25">
      <c r="F992" s="3"/>
      <c r="G992" s="3"/>
    </row>
    <row r="993" spans="6:7" x14ac:dyDescent="0.25">
      <c r="F993" s="3"/>
      <c r="G993" s="3"/>
    </row>
    <row r="994" spans="6:7" x14ac:dyDescent="0.25">
      <c r="F994" s="3"/>
      <c r="G994" s="3"/>
    </row>
    <row r="995" spans="6:7" x14ac:dyDescent="0.25">
      <c r="F995" s="3"/>
      <c r="G995" s="3"/>
    </row>
    <row r="996" spans="6:7" x14ac:dyDescent="0.25">
      <c r="F996" s="3"/>
      <c r="G996" s="3"/>
    </row>
    <row r="997" spans="6:7" x14ac:dyDescent="0.25">
      <c r="F997" s="3"/>
      <c r="G997" s="3"/>
    </row>
    <row r="998" spans="6:7" x14ac:dyDescent="0.25">
      <c r="F998" s="3"/>
      <c r="G998" s="3"/>
    </row>
    <row r="999" spans="6:7" x14ac:dyDescent="0.25">
      <c r="F999" s="3"/>
      <c r="G999" s="3"/>
    </row>
    <row r="1000" spans="6:7" x14ac:dyDescent="0.25">
      <c r="F1000" s="3"/>
      <c r="G1000" s="3"/>
    </row>
    <row r="1001" spans="6:7" x14ac:dyDescent="0.25">
      <c r="F1001" s="3"/>
      <c r="G1001" s="3"/>
    </row>
    <row r="1002" spans="6:7" x14ac:dyDescent="0.25">
      <c r="F1002" s="3"/>
      <c r="G1002" s="3"/>
    </row>
    <row r="1003" spans="6:7" x14ac:dyDescent="0.25">
      <c r="F1003" s="3"/>
      <c r="G1003" s="3"/>
    </row>
    <row r="1004" spans="6:7" x14ac:dyDescent="0.25">
      <c r="F1004" s="3"/>
      <c r="G1004" s="3"/>
    </row>
    <row r="1005" spans="6:7" x14ac:dyDescent="0.25">
      <c r="F1005" s="3"/>
      <c r="G1005" s="3"/>
    </row>
    <row r="1006" spans="6:7" x14ac:dyDescent="0.25">
      <c r="F1006" s="3"/>
      <c r="G1006" s="3"/>
    </row>
    <row r="1007" spans="6:7" x14ac:dyDescent="0.25">
      <c r="F1007" s="3"/>
      <c r="G1007" s="3"/>
    </row>
    <row r="1008" spans="6:7" x14ac:dyDescent="0.25">
      <c r="F1008" s="3"/>
      <c r="G1008" s="3"/>
    </row>
    <row r="1009" spans="6:7" x14ac:dyDescent="0.25">
      <c r="F1009" s="3"/>
      <c r="G1009" s="3"/>
    </row>
    <row r="1010" spans="6:7" x14ac:dyDescent="0.25">
      <c r="F1010" s="3"/>
      <c r="G1010" s="3"/>
    </row>
    <row r="1011" spans="6:7" x14ac:dyDescent="0.25">
      <c r="F1011" s="3"/>
      <c r="G1011" s="3"/>
    </row>
    <row r="1012" spans="6:7" x14ac:dyDescent="0.25">
      <c r="F1012" s="3"/>
      <c r="G1012" s="3"/>
    </row>
    <row r="1013" spans="6:7" x14ac:dyDescent="0.25">
      <c r="F1013" s="3"/>
      <c r="G1013" s="3"/>
    </row>
    <row r="1014" spans="6:7" x14ac:dyDescent="0.25">
      <c r="F1014" s="3"/>
      <c r="G1014" s="3"/>
    </row>
    <row r="1015" spans="6:7" x14ac:dyDescent="0.25">
      <c r="F1015" s="3"/>
      <c r="G1015" s="3"/>
    </row>
    <row r="1016" spans="6:7" x14ac:dyDescent="0.25">
      <c r="F1016" s="3"/>
      <c r="G1016" s="3"/>
    </row>
    <row r="1017" spans="6:7" x14ac:dyDescent="0.25">
      <c r="F1017" s="3"/>
      <c r="G1017" s="3"/>
    </row>
    <row r="1018" spans="6:7" x14ac:dyDescent="0.25">
      <c r="F1018" s="3"/>
      <c r="G1018" s="3"/>
    </row>
    <row r="1019" spans="6:7" x14ac:dyDescent="0.25">
      <c r="F1019" s="3"/>
      <c r="G1019" s="3"/>
    </row>
    <row r="1020" spans="6:7" x14ac:dyDescent="0.25">
      <c r="F1020" s="3"/>
      <c r="G1020" s="3"/>
    </row>
    <row r="1021" spans="6:7" x14ac:dyDescent="0.25">
      <c r="F1021" s="3"/>
      <c r="G1021" s="3"/>
    </row>
    <row r="1022" spans="6:7" x14ac:dyDescent="0.25">
      <c r="F1022" s="3"/>
      <c r="G1022" s="3"/>
    </row>
    <row r="1023" spans="6:7" x14ac:dyDescent="0.25">
      <c r="F1023" s="3"/>
      <c r="G1023" s="3"/>
    </row>
    <row r="1024" spans="6:7" x14ac:dyDescent="0.25">
      <c r="F1024" s="3"/>
      <c r="G1024" s="3"/>
    </row>
    <row r="1025" spans="6:7" x14ac:dyDescent="0.25">
      <c r="F1025" s="3"/>
      <c r="G1025" s="3"/>
    </row>
    <row r="1026" spans="6:7" x14ac:dyDescent="0.25">
      <c r="F1026" s="3"/>
      <c r="G1026" s="3"/>
    </row>
    <row r="1027" spans="6:7" x14ac:dyDescent="0.25">
      <c r="F1027" s="3"/>
      <c r="G1027" s="3"/>
    </row>
    <row r="1028" spans="6:7" x14ac:dyDescent="0.25">
      <c r="F1028" s="3"/>
      <c r="G1028" s="3"/>
    </row>
    <row r="1029" spans="6:7" x14ac:dyDescent="0.25">
      <c r="F1029" s="3"/>
      <c r="G1029" s="3"/>
    </row>
    <row r="1030" spans="6:7" x14ac:dyDescent="0.25">
      <c r="F1030" s="3"/>
      <c r="G1030" s="3"/>
    </row>
    <row r="1031" spans="6:7" x14ac:dyDescent="0.25">
      <c r="F1031" s="3"/>
      <c r="G1031" s="3"/>
    </row>
    <row r="1032" spans="6:7" x14ac:dyDescent="0.25">
      <c r="F1032" s="3"/>
      <c r="G1032" s="3"/>
    </row>
    <row r="1033" spans="6:7" x14ac:dyDescent="0.25">
      <c r="F1033" s="3"/>
      <c r="G1033" s="3"/>
    </row>
    <row r="1034" spans="6:7" x14ac:dyDescent="0.25">
      <c r="F1034" s="3"/>
      <c r="G1034" s="3"/>
    </row>
    <row r="1035" spans="6:7" x14ac:dyDescent="0.25">
      <c r="F1035" s="3"/>
      <c r="G1035" s="3"/>
    </row>
    <row r="1036" spans="6:7" x14ac:dyDescent="0.25">
      <c r="F1036" s="3"/>
      <c r="G1036" s="3"/>
    </row>
    <row r="1037" spans="6:7" x14ac:dyDescent="0.25">
      <c r="F1037" s="3"/>
      <c r="G1037" s="3"/>
    </row>
    <row r="1038" spans="6:7" x14ac:dyDescent="0.25">
      <c r="F1038" s="3"/>
      <c r="G1038" s="3"/>
    </row>
    <row r="1039" spans="6:7" x14ac:dyDescent="0.25">
      <c r="F1039" s="3"/>
      <c r="G1039" s="3"/>
    </row>
    <row r="1040" spans="6:7" x14ac:dyDescent="0.25">
      <c r="F1040" s="3"/>
      <c r="G1040" s="3"/>
    </row>
    <row r="1041" spans="6:7" x14ac:dyDescent="0.25">
      <c r="F1041" s="3"/>
      <c r="G1041" s="3"/>
    </row>
    <row r="1042" spans="6:7" x14ac:dyDescent="0.25">
      <c r="F1042" s="3"/>
      <c r="G1042" s="3"/>
    </row>
    <row r="1043" spans="6:7" x14ac:dyDescent="0.25">
      <c r="F1043" s="3"/>
      <c r="G1043" s="3"/>
    </row>
    <row r="1044" spans="6:7" x14ac:dyDescent="0.25">
      <c r="F1044" s="3"/>
      <c r="G1044" s="3"/>
    </row>
    <row r="1045" spans="6:7" x14ac:dyDescent="0.25">
      <c r="F1045" s="3"/>
      <c r="G1045" s="3"/>
    </row>
    <row r="1046" spans="6:7" x14ac:dyDescent="0.25">
      <c r="F1046" s="3"/>
      <c r="G1046" s="3"/>
    </row>
    <row r="1047" spans="6:7" x14ac:dyDescent="0.25">
      <c r="F1047" s="3"/>
      <c r="G1047" s="3"/>
    </row>
    <row r="1048" spans="6:7" x14ac:dyDescent="0.25">
      <c r="F1048" s="3"/>
      <c r="G1048" s="3"/>
    </row>
    <row r="1049" spans="6:7" x14ac:dyDescent="0.25">
      <c r="F1049" s="3"/>
      <c r="G1049" s="3"/>
    </row>
    <row r="1050" spans="6:7" x14ac:dyDescent="0.25">
      <c r="F1050" s="3"/>
      <c r="G1050" s="3"/>
    </row>
    <row r="1051" spans="6:7" x14ac:dyDescent="0.25">
      <c r="F1051" s="3"/>
      <c r="G1051" s="3"/>
    </row>
    <row r="1052" spans="6:7" x14ac:dyDescent="0.25">
      <c r="F1052" s="3"/>
      <c r="G1052" s="3"/>
    </row>
    <row r="1053" spans="6:7" x14ac:dyDescent="0.25">
      <c r="F1053" s="3"/>
      <c r="G1053" s="3"/>
    </row>
    <row r="1054" spans="6:7" x14ac:dyDescent="0.25">
      <c r="F1054" s="3"/>
      <c r="G1054" s="3"/>
    </row>
    <row r="1055" spans="6:7" x14ac:dyDescent="0.25">
      <c r="F1055" s="3"/>
      <c r="G1055" s="3"/>
    </row>
    <row r="1056" spans="6:7" x14ac:dyDescent="0.25">
      <c r="F1056" s="3"/>
      <c r="G1056" s="3"/>
    </row>
    <row r="1057" spans="6:7" x14ac:dyDescent="0.25">
      <c r="F1057" s="3"/>
      <c r="G1057" s="3"/>
    </row>
    <row r="1058" spans="6:7" x14ac:dyDescent="0.25">
      <c r="F1058" s="3"/>
      <c r="G1058" s="3"/>
    </row>
    <row r="1059" spans="6:7" x14ac:dyDescent="0.25">
      <c r="F1059" s="3"/>
      <c r="G1059" s="3"/>
    </row>
    <row r="1060" spans="6:7" x14ac:dyDescent="0.25">
      <c r="F1060" s="3"/>
      <c r="G1060" s="3"/>
    </row>
    <row r="1061" spans="6:7" x14ac:dyDescent="0.25">
      <c r="F1061" s="3"/>
      <c r="G1061" s="3"/>
    </row>
    <row r="1062" spans="6:7" x14ac:dyDescent="0.25">
      <c r="F1062" s="3"/>
      <c r="G1062" s="3"/>
    </row>
    <row r="1063" spans="6:7" x14ac:dyDescent="0.25">
      <c r="F1063" s="3"/>
      <c r="G1063" s="3"/>
    </row>
    <row r="1064" spans="6:7" x14ac:dyDescent="0.25">
      <c r="F1064" s="3"/>
      <c r="G1064" s="3"/>
    </row>
    <row r="1065" spans="6:7" x14ac:dyDescent="0.25">
      <c r="F1065" s="3"/>
      <c r="G1065" s="3"/>
    </row>
    <row r="1066" spans="6:7" x14ac:dyDescent="0.25">
      <c r="F1066" s="3"/>
      <c r="G1066" s="3"/>
    </row>
    <row r="1067" spans="6:7" x14ac:dyDescent="0.25">
      <c r="F1067" s="3"/>
      <c r="G1067" s="3"/>
    </row>
    <row r="1068" spans="6:7" x14ac:dyDescent="0.25">
      <c r="F1068" s="3"/>
      <c r="G1068" s="3"/>
    </row>
    <row r="1069" spans="6:7" x14ac:dyDescent="0.25">
      <c r="F1069" s="3"/>
      <c r="G1069" s="3"/>
    </row>
    <row r="1070" spans="6:7" x14ac:dyDescent="0.25">
      <c r="F1070" s="3"/>
      <c r="G1070" s="3"/>
    </row>
    <row r="1071" spans="6:7" x14ac:dyDescent="0.25">
      <c r="F1071" s="3"/>
      <c r="G1071" s="3"/>
    </row>
    <row r="1072" spans="6:7" x14ac:dyDescent="0.25">
      <c r="F1072" s="3"/>
      <c r="G1072" s="3"/>
    </row>
    <row r="1073" spans="6:7" x14ac:dyDescent="0.25">
      <c r="F1073" s="3"/>
      <c r="G1073" s="3"/>
    </row>
    <row r="1074" spans="6:7" x14ac:dyDescent="0.25">
      <c r="F1074" s="3"/>
      <c r="G1074" s="3"/>
    </row>
    <row r="1075" spans="6:7" x14ac:dyDescent="0.25">
      <c r="F1075" s="3"/>
      <c r="G1075" s="3"/>
    </row>
    <row r="1076" spans="6:7" x14ac:dyDescent="0.25">
      <c r="F1076" s="3"/>
      <c r="G1076" s="3"/>
    </row>
    <row r="1077" spans="6:7" x14ac:dyDescent="0.25">
      <c r="F1077" s="3"/>
      <c r="G1077" s="3"/>
    </row>
    <row r="1078" spans="6:7" x14ac:dyDescent="0.25">
      <c r="F1078" s="3"/>
      <c r="G1078" s="3"/>
    </row>
    <row r="1079" spans="6:7" x14ac:dyDescent="0.25">
      <c r="F1079" s="3"/>
      <c r="G1079" s="3"/>
    </row>
    <row r="1080" spans="6:7" x14ac:dyDescent="0.25">
      <c r="F1080" s="3"/>
      <c r="G1080" s="3"/>
    </row>
    <row r="1081" spans="6:7" x14ac:dyDescent="0.25">
      <c r="F1081" s="3"/>
      <c r="G1081" s="3"/>
    </row>
    <row r="1082" spans="6:7" x14ac:dyDescent="0.25">
      <c r="F1082" s="3"/>
      <c r="G1082" s="3"/>
    </row>
    <row r="1083" spans="6:7" x14ac:dyDescent="0.25">
      <c r="F1083" s="3"/>
      <c r="G1083" s="3"/>
    </row>
    <row r="1084" spans="6:7" x14ac:dyDescent="0.25">
      <c r="F1084" s="3"/>
      <c r="G1084" s="3"/>
    </row>
    <row r="1085" spans="6:7" x14ac:dyDescent="0.25">
      <c r="F1085" s="3"/>
      <c r="G1085" s="3"/>
    </row>
    <row r="1086" spans="6:7" x14ac:dyDescent="0.25">
      <c r="F1086" s="3"/>
      <c r="G1086" s="3"/>
    </row>
    <row r="1087" spans="6:7" x14ac:dyDescent="0.25">
      <c r="F1087" s="3"/>
      <c r="G1087" s="3"/>
    </row>
    <row r="1088" spans="6:7" x14ac:dyDescent="0.25">
      <c r="F1088" s="3"/>
      <c r="G1088" s="3"/>
    </row>
    <row r="1089" spans="6:7" x14ac:dyDescent="0.25">
      <c r="F1089" s="3"/>
      <c r="G1089" s="3"/>
    </row>
    <row r="1090" spans="6:7" x14ac:dyDescent="0.25">
      <c r="F1090" s="3"/>
      <c r="G1090" s="3"/>
    </row>
    <row r="1091" spans="6:7" x14ac:dyDescent="0.25">
      <c r="F1091" s="3"/>
      <c r="G1091" s="3"/>
    </row>
    <row r="1092" spans="6:7" x14ac:dyDescent="0.25">
      <c r="F1092" s="3"/>
      <c r="G1092" s="3"/>
    </row>
    <row r="1093" spans="6:7" x14ac:dyDescent="0.25">
      <c r="F1093" s="3"/>
      <c r="G1093" s="3"/>
    </row>
    <row r="1094" spans="6:7" x14ac:dyDescent="0.25">
      <c r="F1094" s="3"/>
      <c r="G1094" s="3"/>
    </row>
    <row r="1095" spans="6:7" x14ac:dyDescent="0.25">
      <c r="F1095" s="3"/>
      <c r="G1095" s="3"/>
    </row>
    <row r="1096" spans="6:7" x14ac:dyDescent="0.25">
      <c r="F1096" s="3"/>
      <c r="G1096" s="3"/>
    </row>
    <row r="1097" spans="6:7" x14ac:dyDescent="0.25">
      <c r="F1097" s="3"/>
      <c r="G1097" s="3"/>
    </row>
    <row r="1098" spans="6:7" x14ac:dyDescent="0.25">
      <c r="F1098" s="3"/>
      <c r="G1098" s="3"/>
    </row>
    <row r="1099" spans="6:7" x14ac:dyDescent="0.25">
      <c r="F1099" s="3"/>
      <c r="G1099" s="3"/>
    </row>
    <row r="1100" spans="6:7" x14ac:dyDescent="0.25">
      <c r="F1100" s="3"/>
      <c r="G1100" s="3"/>
    </row>
    <row r="1101" spans="6:7" x14ac:dyDescent="0.25">
      <c r="F1101" s="3"/>
      <c r="G1101" s="3"/>
    </row>
    <row r="1102" spans="6:7" x14ac:dyDescent="0.25">
      <c r="F1102" s="3"/>
      <c r="G1102" s="3"/>
    </row>
    <row r="1103" spans="6:7" x14ac:dyDescent="0.25">
      <c r="F1103" s="3"/>
      <c r="G1103" s="3"/>
    </row>
    <row r="1104" spans="6:7" x14ac:dyDescent="0.25">
      <c r="F1104" s="3"/>
      <c r="G1104" s="3"/>
    </row>
    <row r="1105" spans="6:7" x14ac:dyDescent="0.25">
      <c r="F1105" s="3"/>
      <c r="G1105" s="3"/>
    </row>
    <row r="1106" spans="6:7" x14ac:dyDescent="0.25">
      <c r="F1106" s="3"/>
      <c r="G1106" s="3"/>
    </row>
    <row r="1107" spans="6:7" x14ac:dyDescent="0.25">
      <c r="F1107" s="3"/>
      <c r="G1107" s="3"/>
    </row>
    <row r="1108" spans="6:7" x14ac:dyDescent="0.25">
      <c r="F1108" s="3"/>
      <c r="G1108" s="3"/>
    </row>
    <row r="1109" spans="6:7" x14ac:dyDescent="0.25">
      <c r="F1109" s="3"/>
      <c r="G1109" s="3"/>
    </row>
    <row r="1110" spans="6:7" x14ac:dyDescent="0.25">
      <c r="F1110" s="3"/>
      <c r="G1110" s="3"/>
    </row>
    <row r="1111" spans="6:7" x14ac:dyDescent="0.25">
      <c r="F1111" s="3"/>
      <c r="G1111" s="3"/>
    </row>
    <row r="1112" spans="6:7" x14ac:dyDescent="0.25">
      <c r="F1112" s="3"/>
      <c r="G1112" s="3"/>
    </row>
    <row r="1113" spans="6:7" x14ac:dyDescent="0.25">
      <c r="F1113" s="3"/>
      <c r="G1113" s="3"/>
    </row>
    <row r="1114" spans="6:7" x14ac:dyDescent="0.25">
      <c r="F1114" s="3"/>
      <c r="G1114" s="3"/>
    </row>
    <row r="1115" spans="6:7" x14ac:dyDescent="0.25">
      <c r="F1115" s="3"/>
      <c r="G1115" s="3"/>
    </row>
    <row r="1116" spans="6:7" x14ac:dyDescent="0.25">
      <c r="F1116" s="3"/>
      <c r="G1116" s="3"/>
    </row>
    <row r="1117" spans="6:7" x14ac:dyDescent="0.25">
      <c r="F1117" s="3"/>
      <c r="G1117" s="3"/>
    </row>
    <row r="1118" spans="6:7" x14ac:dyDescent="0.25">
      <c r="F1118" s="3"/>
      <c r="G1118" s="3"/>
    </row>
    <row r="1119" spans="6:7" x14ac:dyDescent="0.25">
      <c r="F1119" s="3"/>
      <c r="G1119" s="3"/>
    </row>
    <row r="1120" spans="6:7" x14ac:dyDescent="0.25">
      <c r="F1120" s="3"/>
      <c r="G1120" s="3"/>
    </row>
    <row r="1121" spans="6:7" x14ac:dyDescent="0.25">
      <c r="F1121" s="3"/>
      <c r="G1121" s="3"/>
    </row>
    <row r="1122" spans="6:7" x14ac:dyDescent="0.25">
      <c r="F1122" s="3"/>
      <c r="G1122" s="3"/>
    </row>
    <row r="1123" spans="6:7" x14ac:dyDescent="0.25">
      <c r="F1123" s="3"/>
      <c r="G1123" s="3"/>
    </row>
    <row r="1124" spans="6:7" x14ac:dyDescent="0.25">
      <c r="F1124" s="3"/>
      <c r="G1124" s="3"/>
    </row>
    <row r="1125" spans="6:7" x14ac:dyDescent="0.25">
      <c r="F1125" s="3"/>
      <c r="G1125" s="3"/>
    </row>
    <row r="1126" spans="6:7" x14ac:dyDescent="0.25">
      <c r="F1126" s="3"/>
      <c r="G1126" s="3"/>
    </row>
    <row r="1127" spans="6:7" x14ac:dyDescent="0.25">
      <c r="F1127" s="3"/>
      <c r="G1127" s="3"/>
    </row>
    <row r="1128" spans="6:7" x14ac:dyDescent="0.25">
      <c r="F1128" s="3"/>
      <c r="G1128" s="3"/>
    </row>
    <row r="1129" spans="6:7" x14ac:dyDescent="0.25">
      <c r="F1129" s="3"/>
      <c r="G1129" s="3"/>
    </row>
    <row r="1130" spans="6:7" x14ac:dyDescent="0.25">
      <c r="F1130" s="3"/>
      <c r="G1130" s="3"/>
    </row>
    <row r="1131" spans="6:7" x14ac:dyDescent="0.25">
      <c r="F1131" s="3"/>
      <c r="G1131" s="3"/>
    </row>
    <row r="1132" spans="6:7" x14ac:dyDescent="0.25">
      <c r="F1132" s="3"/>
      <c r="G1132" s="3"/>
    </row>
    <row r="1133" spans="6:7" x14ac:dyDescent="0.25">
      <c r="F1133" s="3"/>
      <c r="G1133" s="3"/>
    </row>
    <row r="1134" spans="6:7" x14ac:dyDescent="0.25">
      <c r="F1134" s="3"/>
      <c r="G1134" s="3"/>
    </row>
    <row r="1135" spans="6:7" x14ac:dyDescent="0.25">
      <c r="F1135" s="3"/>
      <c r="G1135" s="3"/>
    </row>
    <row r="1136" spans="6:7" x14ac:dyDescent="0.25">
      <c r="F1136" s="3"/>
      <c r="G1136" s="3"/>
    </row>
    <row r="1137" spans="6:7" x14ac:dyDescent="0.25">
      <c r="F1137" s="3"/>
      <c r="G1137" s="3"/>
    </row>
    <row r="1138" spans="6:7" x14ac:dyDescent="0.25">
      <c r="F1138" s="3"/>
      <c r="G1138" s="3"/>
    </row>
    <row r="1139" spans="6:7" x14ac:dyDescent="0.25">
      <c r="F1139" s="3"/>
      <c r="G1139" s="3"/>
    </row>
    <row r="1140" spans="6:7" x14ac:dyDescent="0.25">
      <c r="F1140" s="3"/>
      <c r="G1140" s="3"/>
    </row>
    <row r="1141" spans="6:7" x14ac:dyDescent="0.25">
      <c r="F1141" s="3"/>
      <c r="G1141" s="3"/>
    </row>
    <row r="1142" spans="6:7" x14ac:dyDescent="0.25">
      <c r="F1142" s="3"/>
      <c r="G1142" s="3"/>
    </row>
    <row r="1143" spans="6:7" x14ac:dyDescent="0.25">
      <c r="F1143" s="3"/>
      <c r="G1143" s="3"/>
    </row>
    <row r="1144" spans="6:7" x14ac:dyDescent="0.25">
      <c r="F1144" s="3"/>
      <c r="G1144" s="3"/>
    </row>
    <row r="1145" spans="6:7" x14ac:dyDescent="0.25">
      <c r="F1145" s="3"/>
      <c r="G1145" s="3"/>
    </row>
    <row r="1146" spans="6:7" x14ac:dyDescent="0.25">
      <c r="F1146" s="3"/>
      <c r="G1146" s="3"/>
    </row>
    <row r="1147" spans="6:7" x14ac:dyDescent="0.25">
      <c r="F1147" s="3"/>
      <c r="G1147" s="3"/>
    </row>
    <row r="1148" spans="6:7" x14ac:dyDescent="0.25">
      <c r="F1148" s="3"/>
      <c r="G1148" s="3"/>
    </row>
    <row r="1149" spans="6:7" x14ac:dyDescent="0.25">
      <c r="F1149" s="3"/>
      <c r="G1149" s="3"/>
    </row>
    <row r="1150" spans="6:7" x14ac:dyDescent="0.25">
      <c r="F1150" s="3"/>
      <c r="G1150" s="3"/>
    </row>
    <row r="1151" spans="6:7" x14ac:dyDescent="0.25">
      <c r="F1151" s="3"/>
      <c r="G1151" s="3"/>
    </row>
    <row r="1152" spans="6:7" x14ac:dyDescent="0.25">
      <c r="F1152" s="3"/>
      <c r="G1152" s="3"/>
    </row>
    <row r="1153" spans="6:7" x14ac:dyDescent="0.25">
      <c r="F1153" s="3"/>
      <c r="G1153" s="3"/>
    </row>
    <row r="1154" spans="6:7" x14ac:dyDescent="0.25">
      <c r="F1154" s="3"/>
      <c r="G1154" s="3"/>
    </row>
    <row r="1155" spans="6:7" x14ac:dyDescent="0.25">
      <c r="F1155" s="3"/>
      <c r="G1155" s="3"/>
    </row>
    <row r="1156" spans="6:7" x14ac:dyDescent="0.25">
      <c r="F1156" s="3"/>
      <c r="G1156" s="3"/>
    </row>
    <row r="1157" spans="6:7" x14ac:dyDescent="0.25">
      <c r="F1157" s="3"/>
      <c r="G1157" s="3"/>
    </row>
    <row r="1158" spans="6:7" x14ac:dyDescent="0.25">
      <c r="F1158" s="3"/>
      <c r="G1158" s="3"/>
    </row>
    <row r="1159" spans="6:7" x14ac:dyDescent="0.25">
      <c r="F1159" s="3"/>
      <c r="G1159" s="3"/>
    </row>
    <row r="1160" spans="6:7" x14ac:dyDescent="0.25">
      <c r="F1160" s="3"/>
      <c r="G1160" s="3"/>
    </row>
    <row r="1161" spans="6:7" x14ac:dyDescent="0.25">
      <c r="F1161" s="3"/>
      <c r="G1161" s="3"/>
    </row>
    <row r="1162" spans="6:7" x14ac:dyDescent="0.25">
      <c r="F1162" s="3"/>
      <c r="G1162" s="3"/>
    </row>
    <row r="1163" spans="6:7" x14ac:dyDescent="0.25">
      <c r="F1163" s="3"/>
      <c r="G1163" s="3"/>
    </row>
    <row r="1164" spans="6:7" x14ac:dyDescent="0.25">
      <c r="F1164" s="3"/>
      <c r="G1164" s="3"/>
    </row>
    <row r="1165" spans="6:7" x14ac:dyDescent="0.25">
      <c r="F1165" s="3"/>
      <c r="G1165" s="3"/>
    </row>
    <row r="1166" spans="6:7" x14ac:dyDescent="0.25">
      <c r="F1166" s="3"/>
      <c r="G1166" s="3"/>
    </row>
    <row r="1167" spans="6:7" x14ac:dyDescent="0.25">
      <c r="F1167" s="3"/>
      <c r="G1167" s="3"/>
    </row>
    <row r="1168" spans="6:7" x14ac:dyDescent="0.25">
      <c r="F1168" s="3"/>
      <c r="G1168" s="3"/>
    </row>
    <row r="1169" spans="6:7" x14ac:dyDescent="0.25">
      <c r="F1169" s="3"/>
      <c r="G1169" s="3"/>
    </row>
    <row r="1170" spans="6:7" x14ac:dyDescent="0.25">
      <c r="F1170" s="3"/>
      <c r="G1170" s="3"/>
    </row>
    <row r="1171" spans="6:7" x14ac:dyDescent="0.25">
      <c r="F1171" s="3"/>
      <c r="G1171" s="3"/>
    </row>
    <row r="1172" spans="6:7" x14ac:dyDescent="0.25">
      <c r="F1172" s="3"/>
      <c r="G1172" s="3"/>
    </row>
    <row r="1173" spans="6:7" x14ac:dyDescent="0.25">
      <c r="F1173" s="3"/>
      <c r="G1173" s="3"/>
    </row>
    <row r="1174" spans="6:7" x14ac:dyDescent="0.25">
      <c r="F1174" s="3"/>
      <c r="G1174" s="3"/>
    </row>
    <row r="1175" spans="6:7" x14ac:dyDescent="0.25">
      <c r="F1175" s="3"/>
      <c r="G1175" s="3"/>
    </row>
    <row r="1176" spans="6:7" x14ac:dyDescent="0.25">
      <c r="F1176" s="3"/>
      <c r="G1176" s="3"/>
    </row>
    <row r="1177" spans="6:7" x14ac:dyDescent="0.25">
      <c r="F1177" s="3"/>
      <c r="G1177" s="3"/>
    </row>
    <row r="1178" spans="6:7" x14ac:dyDescent="0.25">
      <c r="F1178" s="3"/>
      <c r="G1178" s="3"/>
    </row>
    <row r="1179" spans="6:7" x14ac:dyDescent="0.25">
      <c r="F1179" s="3"/>
      <c r="G1179" s="3"/>
    </row>
    <row r="1180" spans="6:7" x14ac:dyDescent="0.25">
      <c r="F1180" s="3"/>
      <c r="G1180" s="3"/>
    </row>
    <row r="1181" spans="6:7" x14ac:dyDescent="0.25">
      <c r="F1181" s="3"/>
      <c r="G1181" s="3"/>
    </row>
    <row r="1182" spans="6:7" x14ac:dyDescent="0.25">
      <c r="F1182" s="3"/>
      <c r="G1182" s="3"/>
    </row>
    <row r="1183" spans="6:7" x14ac:dyDescent="0.25">
      <c r="F1183" s="3"/>
      <c r="G1183" s="3"/>
    </row>
    <row r="1184" spans="6:7" x14ac:dyDescent="0.25">
      <c r="F1184" s="3"/>
      <c r="G1184" s="3"/>
    </row>
    <row r="1185" spans="6:7" x14ac:dyDescent="0.25">
      <c r="F1185" s="3"/>
      <c r="G1185" s="3"/>
    </row>
    <row r="1186" spans="6:7" x14ac:dyDescent="0.25">
      <c r="F1186" s="3"/>
      <c r="G1186" s="3"/>
    </row>
    <row r="1187" spans="6:7" x14ac:dyDescent="0.25">
      <c r="F1187" s="3"/>
      <c r="G1187" s="3"/>
    </row>
    <row r="1188" spans="6:7" x14ac:dyDescent="0.25">
      <c r="F1188" s="3"/>
      <c r="G1188" s="3"/>
    </row>
    <row r="1189" spans="6:7" x14ac:dyDescent="0.25">
      <c r="F1189" s="3"/>
      <c r="G1189" s="3"/>
    </row>
    <row r="1190" spans="6:7" x14ac:dyDescent="0.25">
      <c r="F1190" s="3"/>
      <c r="G1190" s="3"/>
    </row>
    <row r="1191" spans="6:7" x14ac:dyDescent="0.25">
      <c r="F1191" s="3"/>
      <c r="G1191" s="3"/>
    </row>
    <row r="1192" spans="6:7" x14ac:dyDescent="0.25">
      <c r="F1192" s="3"/>
      <c r="G1192" s="3"/>
    </row>
    <row r="1193" spans="6:7" x14ac:dyDescent="0.25">
      <c r="F1193" s="3"/>
      <c r="G1193" s="3"/>
    </row>
    <row r="1194" spans="6:7" x14ac:dyDescent="0.25">
      <c r="F1194" s="3"/>
      <c r="G1194" s="3"/>
    </row>
    <row r="1195" spans="6:7" x14ac:dyDescent="0.25">
      <c r="F1195" s="3"/>
      <c r="G1195" s="3"/>
    </row>
    <row r="1196" spans="6:7" x14ac:dyDescent="0.25">
      <c r="F1196" s="3"/>
      <c r="G1196" s="3"/>
    </row>
    <row r="1197" spans="6:7" x14ac:dyDescent="0.25">
      <c r="F1197" s="3"/>
      <c r="G1197" s="3"/>
    </row>
    <row r="1198" spans="6:7" x14ac:dyDescent="0.25">
      <c r="F1198" s="3"/>
      <c r="G1198" s="3"/>
    </row>
    <row r="1199" spans="6:7" x14ac:dyDescent="0.25">
      <c r="F1199" s="3"/>
      <c r="G1199" s="3"/>
    </row>
    <row r="1200" spans="6:7" x14ac:dyDescent="0.25">
      <c r="F1200" s="3"/>
      <c r="G1200" s="3"/>
    </row>
    <row r="1201" spans="6:7" x14ac:dyDescent="0.25">
      <c r="F1201" s="3"/>
      <c r="G1201" s="3"/>
    </row>
    <row r="1202" spans="6:7" x14ac:dyDescent="0.25">
      <c r="F1202" s="3"/>
      <c r="G1202" s="3"/>
    </row>
    <row r="1203" spans="6:7" x14ac:dyDescent="0.25">
      <c r="F1203" s="3"/>
      <c r="G1203" s="3"/>
    </row>
    <row r="1204" spans="6:7" x14ac:dyDescent="0.25">
      <c r="F1204" s="3"/>
      <c r="G1204" s="3"/>
    </row>
    <row r="1205" spans="6:7" x14ac:dyDescent="0.25">
      <c r="F1205" s="3"/>
      <c r="G1205" s="3"/>
    </row>
    <row r="1206" spans="6:7" x14ac:dyDescent="0.25">
      <c r="F1206" s="3"/>
      <c r="G1206" s="3"/>
    </row>
    <row r="1207" spans="6:7" x14ac:dyDescent="0.25">
      <c r="F1207" s="3"/>
      <c r="G1207" s="3"/>
    </row>
    <row r="1208" spans="6:7" x14ac:dyDescent="0.25">
      <c r="F1208" s="3"/>
      <c r="G1208" s="3"/>
    </row>
    <row r="1209" spans="6:7" x14ac:dyDescent="0.25">
      <c r="F1209" s="3"/>
      <c r="G1209" s="3"/>
    </row>
    <row r="1210" spans="6:7" x14ac:dyDescent="0.25">
      <c r="F1210" s="3"/>
      <c r="G1210" s="3"/>
    </row>
    <row r="1211" spans="6:7" x14ac:dyDescent="0.25">
      <c r="F1211" s="3"/>
      <c r="G1211" s="3"/>
    </row>
    <row r="1212" spans="6:7" x14ac:dyDescent="0.25">
      <c r="F1212" s="3"/>
      <c r="G1212" s="3"/>
    </row>
    <row r="1213" spans="6:7" x14ac:dyDescent="0.25">
      <c r="F1213" s="3"/>
      <c r="G1213" s="3"/>
    </row>
    <row r="1214" spans="6:7" x14ac:dyDescent="0.25">
      <c r="F1214" s="3"/>
      <c r="G1214" s="3"/>
    </row>
    <row r="1215" spans="6:7" x14ac:dyDescent="0.25">
      <c r="F1215" s="3"/>
      <c r="G1215" s="3"/>
    </row>
    <row r="1216" spans="6:7" x14ac:dyDescent="0.25">
      <c r="F1216" s="3"/>
      <c r="G1216" s="3"/>
    </row>
    <row r="1217" spans="6:7" x14ac:dyDescent="0.25">
      <c r="F1217" s="3"/>
      <c r="G1217" s="3"/>
    </row>
    <row r="1218" spans="6:7" x14ac:dyDescent="0.25">
      <c r="F1218" s="3"/>
      <c r="G1218" s="3"/>
    </row>
    <row r="1219" spans="6:7" x14ac:dyDescent="0.25">
      <c r="F1219" s="3"/>
      <c r="G1219" s="3"/>
    </row>
    <row r="1220" spans="6:7" x14ac:dyDescent="0.25">
      <c r="F1220" s="3"/>
      <c r="G1220" s="3"/>
    </row>
    <row r="1221" spans="6:7" x14ac:dyDescent="0.25">
      <c r="F1221" s="3"/>
      <c r="G1221" s="3"/>
    </row>
    <row r="1222" spans="6:7" x14ac:dyDescent="0.25">
      <c r="F1222" s="3"/>
      <c r="G1222" s="3"/>
    </row>
    <row r="1223" spans="6:7" x14ac:dyDescent="0.25">
      <c r="F1223" s="3"/>
      <c r="G1223" s="3"/>
    </row>
    <row r="1224" spans="6:7" x14ac:dyDescent="0.25">
      <c r="F1224" s="3"/>
      <c r="G1224" s="3"/>
    </row>
    <row r="1225" spans="6:7" x14ac:dyDescent="0.25">
      <c r="F1225" s="3"/>
      <c r="G1225" s="3"/>
    </row>
    <row r="1226" spans="6:7" x14ac:dyDescent="0.25">
      <c r="F1226" s="3"/>
      <c r="G1226" s="3"/>
    </row>
    <row r="1227" spans="6:7" x14ac:dyDescent="0.25">
      <c r="F1227" s="3"/>
      <c r="G1227" s="3"/>
    </row>
    <row r="1228" spans="6:7" x14ac:dyDescent="0.25">
      <c r="F1228" s="3"/>
      <c r="G1228" s="3"/>
    </row>
    <row r="1229" spans="6:7" x14ac:dyDescent="0.25">
      <c r="F1229" s="3"/>
      <c r="G1229" s="3"/>
    </row>
    <row r="1230" spans="6:7" x14ac:dyDescent="0.25">
      <c r="F1230" s="3"/>
      <c r="G1230" s="3"/>
    </row>
    <row r="1231" spans="6:7" x14ac:dyDescent="0.25">
      <c r="F1231" s="3"/>
      <c r="G1231" s="3"/>
    </row>
    <row r="1232" spans="6:7" x14ac:dyDescent="0.25">
      <c r="F1232" s="3"/>
      <c r="G1232" s="3"/>
    </row>
    <row r="1233" spans="6:7" x14ac:dyDescent="0.25">
      <c r="F1233" s="3"/>
      <c r="G1233" s="3"/>
    </row>
    <row r="1234" spans="6:7" x14ac:dyDescent="0.25">
      <c r="F1234" s="3"/>
      <c r="G1234" s="3"/>
    </row>
    <row r="1235" spans="6:7" x14ac:dyDescent="0.25">
      <c r="F1235" s="3"/>
      <c r="G1235" s="3"/>
    </row>
    <row r="1236" spans="6:7" x14ac:dyDescent="0.25">
      <c r="F1236" s="3"/>
      <c r="G1236" s="3"/>
    </row>
    <row r="1237" spans="6:7" x14ac:dyDescent="0.25">
      <c r="F1237" s="3"/>
      <c r="G1237" s="3"/>
    </row>
    <row r="1238" spans="6:7" x14ac:dyDescent="0.25">
      <c r="F1238" s="3"/>
      <c r="G1238" s="3"/>
    </row>
    <row r="1239" spans="6:7" x14ac:dyDescent="0.25">
      <c r="F1239" s="3"/>
      <c r="G1239" s="3"/>
    </row>
    <row r="1240" spans="6:7" x14ac:dyDescent="0.25">
      <c r="F1240" s="3"/>
      <c r="G1240" s="3"/>
    </row>
    <row r="1241" spans="6:7" x14ac:dyDescent="0.25">
      <c r="F1241" s="3"/>
      <c r="G1241" s="3"/>
    </row>
    <row r="1242" spans="6:7" x14ac:dyDescent="0.25">
      <c r="F1242" s="3"/>
      <c r="G1242" s="3"/>
    </row>
    <row r="1243" spans="6:7" x14ac:dyDescent="0.25">
      <c r="F1243" s="3"/>
      <c r="G1243" s="3"/>
    </row>
    <row r="1244" spans="6:7" x14ac:dyDescent="0.25">
      <c r="F1244" s="3"/>
      <c r="G1244" s="3"/>
    </row>
    <row r="1245" spans="6:7" x14ac:dyDescent="0.25">
      <c r="F1245" s="3"/>
      <c r="G1245" s="3"/>
    </row>
    <row r="1246" spans="6:7" x14ac:dyDescent="0.25">
      <c r="F1246" s="3"/>
      <c r="G1246" s="3"/>
    </row>
    <row r="1247" spans="6:7" x14ac:dyDescent="0.25">
      <c r="F1247" s="3"/>
      <c r="G1247" s="3"/>
    </row>
    <row r="1248" spans="6:7" x14ac:dyDescent="0.25">
      <c r="F1248" s="3"/>
      <c r="G1248" s="3"/>
    </row>
    <row r="1249" spans="6:7" x14ac:dyDescent="0.25">
      <c r="F1249" s="3"/>
      <c r="G1249" s="3"/>
    </row>
    <row r="1250" spans="6:7" x14ac:dyDescent="0.25">
      <c r="F1250" s="3"/>
      <c r="G1250" s="3"/>
    </row>
    <row r="1251" spans="6:7" x14ac:dyDescent="0.25">
      <c r="F1251" s="3"/>
      <c r="G1251" s="3"/>
    </row>
    <row r="1252" spans="6:7" x14ac:dyDescent="0.25">
      <c r="F1252" s="3"/>
      <c r="G1252" s="3"/>
    </row>
    <row r="1253" spans="6:7" x14ac:dyDescent="0.25">
      <c r="F1253" s="3"/>
      <c r="G1253" s="3"/>
    </row>
    <row r="1254" spans="6:7" x14ac:dyDescent="0.25">
      <c r="F1254" s="3"/>
      <c r="G1254" s="3"/>
    </row>
    <row r="1255" spans="6:7" x14ac:dyDescent="0.25">
      <c r="F1255" s="3"/>
      <c r="G1255" s="3"/>
    </row>
    <row r="1256" spans="6:7" x14ac:dyDescent="0.25">
      <c r="F1256" s="3"/>
      <c r="G1256" s="3"/>
    </row>
    <row r="1257" spans="6:7" x14ac:dyDescent="0.25">
      <c r="F1257" s="3"/>
      <c r="G1257" s="3"/>
    </row>
    <row r="1258" spans="6:7" x14ac:dyDescent="0.25">
      <c r="F1258" s="3"/>
      <c r="G1258" s="3"/>
    </row>
    <row r="1259" spans="6:7" x14ac:dyDescent="0.25">
      <c r="F1259" s="3"/>
      <c r="G1259" s="3"/>
    </row>
    <row r="1260" spans="6:7" x14ac:dyDescent="0.25">
      <c r="F1260" s="3"/>
      <c r="G1260" s="3"/>
    </row>
    <row r="1261" spans="6:7" x14ac:dyDescent="0.25">
      <c r="F1261" s="3"/>
      <c r="G1261" s="3"/>
    </row>
    <row r="1262" spans="6:7" x14ac:dyDescent="0.25">
      <c r="F1262" s="3"/>
      <c r="G1262" s="3"/>
    </row>
    <row r="1263" spans="6:7" x14ac:dyDescent="0.25">
      <c r="F1263" s="3"/>
      <c r="G1263" s="3"/>
    </row>
    <row r="1264" spans="6:7" x14ac:dyDescent="0.25">
      <c r="F1264" s="3"/>
      <c r="G1264" s="3"/>
    </row>
    <row r="1265" spans="6:7" x14ac:dyDescent="0.25">
      <c r="F1265" s="3"/>
      <c r="G1265" s="3"/>
    </row>
    <row r="1266" spans="6:7" x14ac:dyDescent="0.25">
      <c r="F1266" s="3"/>
      <c r="G1266" s="3"/>
    </row>
    <row r="1267" spans="6:7" x14ac:dyDescent="0.25">
      <c r="F1267" s="3"/>
      <c r="G1267" s="3"/>
    </row>
    <row r="1268" spans="6:7" x14ac:dyDescent="0.25">
      <c r="F1268" s="3"/>
      <c r="G1268" s="3"/>
    </row>
    <row r="1269" spans="6:7" x14ac:dyDescent="0.25">
      <c r="F1269" s="3"/>
      <c r="G1269" s="3"/>
    </row>
    <row r="1270" spans="6:7" x14ac:dyDescent="0.25">
      <c r="F1270" s="3"/>
      <c r="G1270" s="3"/>
    </row>
    <row r="1271" spans="6:7" x14ac:dyDescent="0.25">
      <c r="F1271" s="3"/>
      <c r="G1271" s="3"/>
    </row>
    <row r="1272" spans="6:7" x14ac:dyDescent="0.25">
      <c r="F1272" s="3"/>
      <c r="G1272" s="3"/>
    </row>
    <row r="1273" spans="6:7" x14ac:dyDescent="0.25">
      <c r="F1273" s="3"/>
      <c r="G1273" s="3"/>
    </row>
    <row r="1274" spans="6:7" x14ac:dyDescent="0.25">
      <c r="F1274" s="3"/>
      <c r="G1274" s="3"/>
    </row>
    <row r="1275" spans="6:7" x14ac:dyDescent="0.25">
      <c r="F1275" s="3"/>
      <c r="G1275" s="3"/>
    </row>
    <row r="1276" spans="6:7" x14ac:dyDescent="0.25">
      <c r="F1276" s="3"/>
      <c r="G1276" s="3"/>
    </row>
    <row r="1277" spans="6:7" x14ac:dyDescent="0.25">
      <c r="F1277" s="3"/>
      <c r="G1277" s="3"/>
    </row>
    <row r="1278" spans="6:7" x14ac:dyDescent="0.25">
      <c r="F1278" s="3"/>
      <c r="G1278" s="3"/>
    </row>
    <row r="1279" spans="6:7" x14ac:dyDescent="0.25">
      <c r="F1279" s="3"/>
      <c r="G1279" s="3"/>
    </row>
    <row r="1280" spans="6:7" x14ac:dyDescent="0.25">
      <c r="F1280" s="3"/>
      <c r="G1280" s="3"/>
    </row>
    <row r="1281" spans="6:7" x14ac:dyDescent="0.25">
      <c r="F1281" s="3"/>
      <c r="G1281" s="3"/>
    </row>
    <row r="1282" spans="6:7" x14ac:dyDescent="0.25">
      <c r="F1282" s="3"/>
      <c r="G1282" s="3"/>
    </row>
    <row r="1283" spans="6:7" x14ac:dyDescent="0.25">
      <c r="F1283" s="3"/>
      <c r="G1283" s="3"/>
    </row>
    <row r="1284" spans="6:7" x14ac:dyDescent="0.25">
      <c r="F1284" s="3"/>
      <c r="G1284" s="3"/>
    </row>
    <row r="1285" spans="6:7" x14ac:dyDescent="0.25">
      <c r="F1285" s="3"/>
      <c r="G1285" s="3"/>
    </row>
    <row r="1286" spans="6:7" x14ac:dyDescent="0.25">
      <c r="F1286" s="3"/>
      <c r="G1286" s="3"/>
    </row>
    <row r="1287" spans="6:7" x14ac:dyDescent="0.25">
      <c r="F1287" s="3"/>
      <c r="G1287" s="3"/>
    </row>
    <row r="1288" spans="6:7" x14ac:dyDescent="0.25">
      <c r="F1288" s="3"/>
      <c r="G1288" s="3"/>
    </row>
    <row r="1289" spans="6:7" x14ac:dyDescent="0.25">
      <c r="F1289" s="3"/>
      <c r="G1289" s="3"/>
    </row>
    <row r="1290" spans="6:7" x14ac:dyDescent="0.25">
      <c r="F1290" s="3"/>
      <c r="G1290" s="3"/>
    </row>
    <row r="1291" spans="6:7" x14ac:dyDescent="0.25">
      <c r="F1291" s="3"/>
      <c r="G1291" s="3"/>
    </row>
    <row r="1292" spans="6:7" x14ac:dyDescent="0.25">
      <c r="F1292" s="3"/>
      <c r="G1292" s="3"/>
    </row>
    <row r="1293" spans="6:7" x14ac:dyDescent="0.25">
      <c r="F1293" s="3"/>
      <c r="G1293" s="3"/>
    </row>
    <row r="1294" spans="6:7" x14ac:dyDescent="0.25">
      <c r="F1294" s="3"/>
      <c r="G1294" s="3"/>
    </row>
    <row r="1295" spans="6:7" x14ac:dyDescent="0.25">
      <c r="F1295" s="3"/>
      <c r="G1295" s="3"/>
    </row>
    <row r="1296" spans="6:7" x14ac:dyDescent="0.25">
      <c r="F1296" s="3"/>
      <c r="G1296" s="3"/>
    </row>
    <row r="1297" spans="6:7" x14ac:dyDescent="0.25">
      <c r="F1297" s="3"/>
      <c r="G1297" s="3"/>
    </row>
    <row r="1298" spans="6:7" x14ac:dyDescent="0.25">
      <c r="F1298" s="3"/>
      <c r="G1298" s="3"/>
    </row>
    <row r="1299" spans="6:7" x14ac:dyDescent="0.25">
      <c r="F1299" s="3"/>
      <c r="G1299" s="3"/>
    </row>
    <row r="1300" spans="6:7" x14ac:dyDescent="0.25">
      <c r="F1300" s="3"/>
      <c r="G1300" s="3"/>
    </row>
    <row r="1301" spans="6:7" x14ac:dyDescent="0.25">
      <c r="F1301" s="3"/>
      <c r="G1301" s="3"/>
    </row>
    <row r="1302" spans="6:7" x14ac:dyDescent="0.25">
      <c r="F1302" s="3"/>
      <c r="G1302" s="3"/>
    </row>
    <row r="1303" spans="6:7" x14ac:dyDescent="0.25">
      <c r="F1303" s="3"/>
      <c r="G1303" s="3"/>
    </row>
    <row r="1304" spans="6:7" x14ac:dyDescent="0.25">
      <c r="F1304" s="3"/>
      <c r="G1304" s="3"/>
    </row>
    <row r="1305" spans="6:7" x14ac:dyDescent="0.25">
      <c r="F1305" s="3"/>
      <c r="G1305" s="3"/>
    </row>
    <row r="1306" spans="6:7" x14ac:dyDescent="0.25">
      <c r="F1306" s="3"/>
      <c r="G1306" s="3"/>
    </row>
    <row r="1307" spans="6:7" x14ac:dyDescent="0.25">
      <c r="F1307" s="3"/>
      <c r="G1307" s="3"/>
    </row>
    <row r="1308" spans="6:7" x14ac:dyDescent="0.25">
      <c r="F1308" s="3"/>
      <c r="G1308" s="3"/>
    </row>
    <row r="1309" spans="6:7" x14ac:dyDescent="0.25">
      <c r="F1309" s="3"/>
      <c r="G1309" s="3"/>
    </row>
    <row r="1310" spans="6:7" x14ac:dyDescent="0.25">
      <c r="F1310" s="3"/>
      <c r="G1310" s="3"/>
    </row>
    <row r="1311" spans="6:7" x14ac:dyDescent="0.25">
      <c r="F1311" s="3"/>
      <c r="G1311" s="3"/>
    </row>
    <row r="1312" spans="6:7" x14ac:dyDescent="0.25">
      <c r="F1312" s="3"/>
      <c r="G1312" s="3"/>
    </row>
    <row r="1313" spans="6:7" x14ac:dyDescent="0.25">
      <c r="F1313" s="3"/>
      <c r="G1313" s="3"/>
    </row>
    <row r="1314" spans="6:7" x14ac:dyDescent="0.25">
      <c r="F1314" s="3"/>
      <c r="G1314" s="3"/>
    </row>
    <row r="1315" spans="6:7" x14ac:dyDescent="0.25">
      <c r="F1315" s="3"/>
      <c r="G1315" s="3"/>
    </row>
    <row r="1316" spans="6:7" x14ac:dyDescent="0.25">
      <c r="F1316" s="3"/>
      <c r="G1316" s="3"/>
    </row>
    <row r="1317" spans="6:7" x14ac:dyDescent="0.25">
      <c r="F1317" s="3"/>
      <c r="G1317" s="3"/>
    </row>
    <row r="1318" spans="6:7" x14ac:dyDescent="0.25">
      <c r="F1318" s="3"/>
      <c r="G1318" s="3"/>
    </row>
    <row r="1319" spans="6:7" x14ac:dyDescent="0.25">
      <c r="F1319" s="3"/>
      <c r="G1319" s="3"/>
    </row>
    <row r="1320" spans="6:7" x14ac:dyDescent="0.25">
      <c r="F1320" s="3"/>
      <c r="G1320" s="3"/>
    </row>
    <row r="1321" spans="6:7" x14ac:dyDescent="0.25">
      <c r="F1321" s="3"/>
      <c r="G1321" s="3"/>
    </row>
    <row r="1322" spans="6:7" x14ac:dyDescent="0.25">
      <c r="F1322" s="3"/>
      <c r="G1322" s="3"/>
    </row>
    <row r="1323" spans="6:7" x14ac:dyDescent="0.25">
      <c r="F1323" s="3"/>
      <c r="G1323" s="3"/>
    </row>
    <row r="1324" spans="6:7" x14ac:dyDescent="0.25">
      <c r="F1324" s="3"/>
      <c r="G1324" s="3"/>
    </row>
    <row r="1325" spans="6:7" x14ac:dyDescent="0.25">
      <c r="F1325" s="3"/>
      <c r="G1325" s="3"/>
    </row>
    <row r="1326" spans="6:7" x14ac:dyDescent="0.25">
      <c r="F1326" s="3"/>
      <c r="G1326" s="3"/>
    </row>
    <row r="1327" spans="6:7" x14ac:dyDescent="0.25">
      <c r="F1327" s="3"/>
      <c r="G1327" s="3"/>
    </row>
    <row r="1328" spans="6:7" x14ac:dyDescent="0.25">
      <c r="F1328" s="3"/>
      <c r="G1328" s="3"/>
    </row>
    <row r="1329" spans="6:7" x14ac:dyDescent="0.25">
      <c r="F1329" s="3"/>
      <c r="G1329" s="3"/>
    </row>
    <row r="1330" spans="6:7" x14ac:dyDescent="0.25">
      <c r="F1330" s="3"/>
      <c r="G1330" s="3"/>
    </row>
    <row r="1331" spans="6:7" x14ac:dyDescent="0.25">
      <c r="F1331" s="3"/>
      <c r="G1331" s="3"/>
    </row>
    <row r="1332" spans="6:7" x14ac:dyDescent="0.25">
      <c r="F1332" s="3"/>
      <c r="G1332" s="3"/>
    </row>
    <row r="1333" spans="6:7" x14ac:dyDescent="0.25">
      <c r="F1333" s="3"/>
      <c r="G1333" s="3"/>
    </row>
    <row r="1334" spans="6:7" x14ac:dyDescent="0.25">
      <c r="F1334" s="3"/>
      <c r="G1334" s="3"/>
    </row>
    <row r="1335" spans="6:7" x14ac:dyDescent="0.25">
      <c r="F1335" s="3"/>
      <c r="G1335" s="3"/>
    </row>
    <row r="1336" spans="6:7" x14ac:dyDescent="0.25">
      <c r="F1336" s="3"/>
      <c r="G1336" s="3"/>
    </row>
    <row r="1337" spans="6:7" x14ac:dyDescent="0.25">
      <c r="F1337" s="3"/>
      <c r="G1337" s="3"/>
    </row>
    <row r="1338" spans="6:7" x14ac:dyDescent="0.25">
      <c r="F1338" s="3"/>
      <c r="G1338" s="3"/>
    </row>
    <row r="1339" spans="6:7" x14ac:dyDescent="0.25">
      <c r="F1339" s="3"/>
      <c r="G1339" s="3"/>
    </row>
    <row r="1340" spans="6:7" x14ac:dyDescent="0.25">
      <c r="F1340" s="3"/>
      <c r="G1340" s="3"/>
    </row>
    <row r="1341" spans="6:7" x14ac:dyDescent="0.25">
      <c r="F1341" s="3"/>
      <c r="G1341" s="3"/>
    </row>
    <row r="1342" spans="6:7" x14ac:dyDescent="0.25">
      <c r="F1342" s="3"/>
      <c r="G1342" s="3"/>
    </row>
    <row r="1343" spans="6:7" x14ac:dyDescent="0.25">
      <c r="F1343" s="3"/>
      <c r="G1343" s="3"/>
    </row>
    <row r="1344" spans="6:7" x14ac:dyDescent="0.25">
      <c r="F1344" s="3"/>
      <c r="G1344" s="3"/>
    </row>
    <row r="1345" spans="6:7" x14ac:dyDescent="0.25">
      <c r="F1345" s="3"/>
      <c r="G1345" s="3"/>
    </row>
    <row r="1346" spans="6:7" x14ac:dyDescent="0.25">
      <c r="F1346" s="3"/>
      <c r="G1346" s="3"/>
    </row>
    <row r="1347" spans="6:7" x14ac:dyDescent="0.25">
      <c r="F1347" s="3"/>
      <c r="G1347" s="3"/>
    </row>
    <row r="1348" spans="6:7" x14ac:dyDescent="0.25">
      <c r="F1348" s="3"/>
      <c r="G1348" s="3"/>
    </row>
    <row r="1349" spans="6:7" x14ac:dyDescent="0.25">
      <c r="F1349" s="3"/>
      <c r="G1349" s="3"/>
    </row>
    <row r="1350" spans="6:7" x14ac:dyDescent="0.25">
      <c r="F1350" s="3"/>
      <c r="G1350" s="3"/>
    </row>
    <row r="1351" spans="6:7" x14ac:dyDescent="0.25">
      <c r="F1351" s="3"/>
      <c r="G1351" s="3"/>
    </row>
    <row r="1352" spans="6:7" x14ac:dyDescent="0.25">
      <c r="F1352" s="3"/>
      <c r="G1352" s="3"/>
    </row>
    <row r="1353" spans="6:7" x14ac:dyDescent="0.25">
      <c r="F1353" s="3"/>
      <c r="G1353" s="3"/>
    </row>
    <row r="1354" spans="6:7" x14ac:dyDescent="0.25">
      <c r="F1354" s="3"/>
      <c r="G1354" s="3"/>
    </row>
    <row r="1355" spans="6:7" x14ac:dyDescent="0.25">
      <c r="F1355" s="3"/>
      <c r="G1355" s="3"/>
    </row>
    <row r="1356" spans="6:7" x14ac:dyDescent="0.25">
      <c r="F1356" s="3"/>
      <c r="G1356" s="3"/>
    </row>
    <row r="1357" spans="6:7" x14ac:dyDescent="0.25">
      <c r="F1357" s="3"/>
      <c r="G1357" s="3"/>
    </row>
    <row r="1358" spans="6:7" x14ac:dyDescent="0.25">
      <c r="F1358" s="3"/>
      <c r="G1358" s="3"/>
    </row>
    <row r="1359" spans="6:7" x14ac:dyDescent="0.25">
      <c r="F1359" s="3"/>
      <c r="G1359" s="3"/>
    </row>
    <row r="1360" spans="6:7" x14ac:dyDescent="0.25">
      <c r="F1360" s="3"/>
      <c r="G1360" s="3"/>
    </row>
    <row r="1361" spans="6:7" x14ac:dyDescent="0.25">
      <c r="F1361" s="3"/>
      <c r="G1361" s="3"/>
    </row>
    <row r="1362" spans="6:7" x14ac:dyDescent="0.25">
      <c r="F1362" s="3"/>
      <c r="G1362" s="3"/>
    </row>
    <row r="1363" spans="6:7" x14ac:dyDescent="0.25">
      <c r="F1363" s="3"/>
      <c r="G1363" s="3"/>
    </row>
    <row r="1364" spans="6:7" x14ac:dyDescent="0.25">
      <c r="F1364" s="3"/>
      <c r="G1364" s="3"/>
    </row>
    <row r="1365" spans="6:7" x14ac:dyDescent="0.25">
      <c r="F1365" s="3"/>
      <c r="G1365" s="3"/>
    </row>
    <row r="1366" spans="6:7" x14ac:dyDescent="0.25">
      <c r="F1366" s="3"/>
      <c r="G1366" s="3"/>
    </row>
    <row r="1367" spans="6:7" x14ac:dyDescent="0.25">
      <c r="F1367" s="3"/>
      <c r="G1367" s="3"/>
    </row>
    <row r="1368" spans="6:7" x14ac:dyDescent="0.25">
      <c r="F1368" s="3"/>
      <c r="G1368" s="3"/>
    </row>
    <row r="1369" spans="6:7" x14ac:dyDescent="0.25">
      <c r="F1369" s="3"/>
      <c r="G1369" s="3"/>
    </row>
    <row r="1370" spans="6:7" x14ac:dyDescent="0.25">
      <c r="F1370" s="3"/>
      <c r="G1370" s="3"/>
    </row>
    <row r="1371" spans="6:7" x14ac:dyDescent="0.25">
      <c r="F1371" s="3"/>
      <c r="G1371" s="3"/>
    </row>
    <row r="1372" spans="6:7" x14ac:dyDescent="0.25">
      <c r="F1372" s="3"/>
      <c r="G1372" s="3"/>
    </row>
    <row r="1373" spans="6:7" x14ac:dyDescent="0.25">
      <c r="F1373" s="3"/>
      <c r="G1373" s="3"/>
    </row>
    <row r="1374" spans="6:7" x14ac:dyDescent="0.25">
      <c r="F1374" s="3"/>
      <c r="G1374" s="3"/>
    </row>
    <row r="1375" spans="6:7" x14ac:dyDescent="0.25">
      <c r="F1375" s="3"/>
      <c r="G1375" s="3"/>
    </row>
    <row r="1376" spans="6:7" x14ac:dyDescent="0.25">
      <c r="F1376" s="3"/>
      <c r="G1376" s="3"/>
    </row>
    <row r="1377" spans="6:7" x14ac:dyDescent="0.25">
      <c r="F1377" s="3"/>
      <c r="G1377" s="3"/>
    </row>
    <row r="1378" spans="6:7" x14ac:dyDescent="0.25">
      <c r="F1378" s="3"/>
      <c r="G1378" s="3"/>
    </row>
    <row r="1379" spans="6:7" x14ac:dyDescent="0.25">
      <c r="F1379" s="3"/>
      <c r="G1379" s="3"/>
    </row>
    <row r="1380" spans="6:7" x14ac:dyDescent="0.25">
      <c r="F1380" s="3"/>
      <c r="G1380" s="3"/>
    </row>
    <row r="1381" spans="6:7" x14ac:dyDescent="0.25">
      <c r="F1381" s="3"/>
      <c r="G1381" s="3"/>
    </row>
    <row r="1382" spans="6:7" x14ac:dyDescent="0.25">
      <c r="F1382" s="3"/>
      <c r="G1382" s="3"/>
    </row>
    <row r="1383" spans="6:7" x14ac:dyDescent="0.25">
      <c r="F1383" s="3"/>
      <c r="G1383" s="3"/>
    </row>
    <row r="1384" spans="6:7" x14ac:dyDescent="0.25">
      <c r="F1384" s="3"/>
      <c r="G1384" s="3"/>
    </row>
    <row r="1385" spans="6:7" x14ac:dyDescent="0.25">
      <c r="F1385" s="3"/>
      <c r="G1385" s="3"/>
    </row>
    <row r="1386" spans="6:7" x14ac:dyDescent="0.25">
      <c r="F1386" s="3"/>
      <c r="G1386" s="3"/>
    </row>
    <row r="1387" spans="6:7" x14ac:dyDescent="0.25">
      <c r="F1387" s="3"/>
      <c r="G1387" s="3"/>
    </row>
    <row r="1388" spans="6:7" x14ac:dyDescent="0.25">
      <c r="F1388" s="3"/>
      <c r="G1388" s="3"/>
    </row>
    <row r="1389" spans="6:7" x14ac:dyDescent="0.25">
      <c r="F1389" s="3"/>
      <c r="G1389" s="3"/>
    </row>
    <row r="1390" spans="6:7" x14ac:dyDescent="0.25">
      <c r="F1390" s="3"/>
      <c r="G1390" s="3"/>
    </row>
    <row r="1391" spans="6:7" x14ac:dyDescent="0.25">
      <c r="F1391" s="3"/>
      <c r="G1391" s="3"/>
    </row>
    <row r="1392" spans="6:7" x14ac:dyDescent="0.25">
      <c r="F1392" s="3"/>
      <c r="G1392" s="3"/>
    </row>
    <row r="1393" spans="6:7" x14ac:dyDescent="0.25">
      <c r="F1393" s="3"/>
      <c r="G1393" s="3"/>
    </row>
    <row r="1394" spans="6:7" x14ac:dyDescent="0.25">
      <c r="F1394" s="3"/>
      <c r="G1394" s="3"/>
    </row>
    <row r="1395" spans="6:7" x14ac:dyDescent="0.25">
      <c r="F1395" s="3"/>
      <c r="G1395" s="3"/>
    </row>
    <row r="1396" spans="6:7" x14ac:dyDescent="0.25">
      <c r="F1396" s="3"/>
      <c r="G1396" s="3"/>
    </row>
    <row r="1397" spans="6:7" x14ac:dyDescent="0.25">
      <c r="F1397" s="3"/>
      <c r="G1397" s="3"/>
    </row>
    <row r="1398" spans="6:7" x14ac:dyDescent="0.25">
      <c r="F1398" s="3"/>
      <c r="G1398" s="3"/>
    </row>
    <row r="1399" spans="6:7" x14ac:dyDescent="0.25">
      <c r="F1399" s="3"/>
      <c r="G1399" s="3"/>
    </row>
    <row r="1400" spans="6:7" x14ac:dyDescent="0.25">
      <c r="F1400" s="3"/>
      <c r="G1400" s="3"/>
    </row>
    <row r="1401" spans="6:7" x14ac:dyDescent="0.25">
      <c r="F1401" s="3"/>
      <c r="G1401" s="3"/>
    </row>
    <row r="1402" spans="6:7" x14ac:dyDescent="0.25">
      <c r="F1402" s="3"/>
      <c r="G1402" s="3"/>
    </row>
    <row r="1403" spans="6:7" x14ac:dyDescent="0.25">
      <c r="F1403" s="3"/>
      <c r="G1403" s="3"/>
    </row>
    <row r="1404" spans="6:7" x14ac:dyDescent="0.25">
      <c r="F1404" s="3"/>
      <c r="G1404" s="3"/>
    </row>
    <row r="1405" spans="6:7" x14ac:dyDescent="0.25">
      <c r="F1405" s="3"/>
      <c r="G1405" s="3"/>
    </row>
    <row r="1406" spans="6:7" x14ac:dyDescent="0.25">
      <c r="F1406" s="3"/>
      <c r="G1406" s="3"/>
    </row>
    <row r="1407" spans="6:7" x14ac:dyDescent="0.25">
      <c r="F1407" s="3"/>
      <c r="G1407" s="3"/>
    </row>
    <row r="1408" spans="6:7" x14ac:dyDescent="0.25">
      <c r="F1408" s="3"/>
      <c r="G1408" s="3"/>
    </row>
    <row r="1409" spans="6:7" x14ac:dyDescent="0.25">
      <c r="F1409" s="3"/>
      <c r="G1409" s="3"/>
    </row>
    <row r="1410" spans="6:7" x14ac:dyDescent="0.25">
      <c r="F1410" s="3"/>
      <c r="G1410" s="3"/>
    </row>
    <row r="1411" spans="6:7" x14ac:dyDescent="0.25">
      <c r="F1411" s="3"/>
      <c r="G1411" s="3"/>
    </row>
    <row r="1412" spans="6:7" x14ac:dyDescent="0.25">
      <c r="F1412" s="3"/>
      <c r="G1412" s="3"/>
    </row>
    <row r="1413" spans="6:7" x14ac:dyDescent="0.25">
      <c r="F1413" s="3"/>
      <c r="G1413" s="3"/>
    </row>
    <row r="1414" spans="6:7" x14ac:dyDescent="0.25">
      <c r="F1414" s="3"/>
      <c r="G1414" s="3"/>
    </row>
    <row r="1415" spans="6:7" x14ac:dyDescent="0.25">
      <c r="F1415" s="3"/>
      <c r="G1415" s="3"/>
    </row>
    <row r="1416" spans="6:7" x14ac:dyDescent="0.25">
      <c r="F1416" s="3"/>
      <c r="G1416" s="3"/>
    </row>
    <row r="1417" spans="6:7" x14ac:dyDescent="0.25">
      <c r="F1417" s="3"/>
      <c r="G1417" s="3"/>
    </row>
    <row r="1418" spans="6:7" x14ac:dyDescent="0.25">
      <c r="F1418" s="3"/>
      <c r="G1418" s="3"/>
    </row>
    <row r="1419" spans="6:7" x14ac:dyDescent="0.25">
      <c r="F1419" s="3"/>
      <c r="G1419" s="3"/>
    </row>
    <row r="1420" spans="6:7" x14ac:dyDescent="0.25">
      <c r="F1420" s="3"/>
      <c r="G1420" s="3"/>
    </row>
    <row r="1421" spans="6:7" x14ac:dyDescent="0.25">
      <c r="F1421" s="3"/>
      <c r="G1421" s="3"/>
    </row>
    <row r="1422" spans="6:7" x14ac:dyDescent="0.25">
      <c r="F1422" s="3"/>
      <c r="G1422" s="3"/>
    </row>
    <row r="1423" spans="6:7" x14ac:dyDescent="0.25">
      <c r="F1423" s="3"/>
      <c r="G1423" s="3"/>
    </row>
    <row r="1424" spans="6:7" x14ac:dyDescent="0.25">
      <c r="F1424" s="3"/>
      <c r="G1424" s="3"/>
    </row>
    <row r="1425" spans="6:7" x14ac:dyDescent="0.25">
      <c r="F1425" s="3"/>
      <c r="G1425" s="3"/>
    </row>
    <row r="1426" spans="6:7" x14ac:dyDescent="0.25">
      <c r="F1426" s="3"/>
      <c r="G1426" s="3"/>
    </row>
    <row r="1427" spans="6:7" x14ac:dyDescent="0.25">
      <c r="F1427" s="3"/>
      <c r="G1427" s="3"/>
    </row>
    <row r="1428" spans="6:7" x14ac:dyDescent="0.25">
      <c r="F1428" s="3"/>
      <c r="G1428" s="3"/>
    </row>
    <row r="1429" spans="6:7" x14ac:dyDescent="0.25">
      <c r="F1429" s="3"/>
      <c r="G1429" s="3"/>
    </row>
    <row r="1430" spans="6:7" x14ac:dyDescent="0.25">
      <c r="F1430" s="3"/>
      <c r="G1430" s="3"/>
    </row>
    <row r="1431" spans="6:7" x14ac:dyDescent="0.25">
      <c r="F1431" s="3"/>
      <c r="G1431" s="3"/>
    </row>
    <row r="1432" spans="6:7" x14ac:dyDescent="0.25">
      <c r="F1432" s="3"/>
      <c r="G1432" s="3"/>
    </row>
    <row r="1433" spans="6:7" x14ac:dyDescent="0.25">
      <c r="F1433" s="3"/>
      <c r="G1433" s="3"/>
    </row>
    <row r="1434" spans="6:7" x14ac:dyDescent="0.25">
      <c r="F1434" s="3"/>
      <c r="G1434" s="3"/>
    </row>
    <row r="1435" spans="6:7" x14ac:dyDescent="0.25">
      <c r="F1435" s="3"/>
      <c r="G1435" s="3"/>
    </row>
    <row r="1436" spans="6:7" x14ac:dyDescent="0.25">
      <c r="F1436" s="3"/>
      <c r="G1436" s="3"/>
    </row>
    <row r="1437" spans="6:7" x14ac:dyDescent="0.25">
      <c r="F1437" s="3"/>
      <c r="G1437" s="3"/>
    </row>
    <row r="1438" spans="6:7" x14ac:dyDescent="0.25">
      <c r="F1438" s="3"/>
      <c r="G1438" s="3"/>
    </row>
    <row r="1439" spans="6:7" x14ac:dyDescent="0.25">
      <c r="F1439" s="3"/>
      <c r="G1439" s="3"/>
    </row>
    <row r="1440" spans="6:7" x14ac:dyDescent="0.25">
      <c r="F1440" s="3"/>
      <c r="G1440" s="3"/>
    </row>
    <row r="1441" spans="6:7" x14ac:dyDescent="0.25">
      <c r="F1441" s="3"/>
      <c r="G1441" s="3"/>
    </row>
    <row r="1442" spans="6:7" x14ac:dyDescent="0.25">
      <c r="F1442" s="3"/>
      <c r="G1442" s="3"/>
    </row>
    <row r="1443" spans="6:7" x14ac:dyDescent="0.25">
      <c r="F1443" s="3"/>
      <c r="G1443" s="3"/>
    </row>
    <row r="1444" spans="6:7" x14ac:dyDescent="0.25">
      <c r="F1444" s="3"/>
      <c r="G1444" s="3"/>
    </row>
    <row r="1445" spans="6:7" x14ac:dyDescent="0.25">
      <c r="F1445" s="3"/>
      <c r="G1445" s="3"/>
    </row>
    <row r="1446" spans="6:7" x14ac:dyDescent="0.25">
      <c r="F1446" s="3"/>
      <c r="G1446" s="3"/>
    </row>
    <row r="1447" spans="6:7" x14ac:dyDescent="0.25">
      <c r="F1447" s="3"/>
      <c r="G1447" s="3"/>
    </row>
    <row r="1448" spans="6:7" x14ac:dyDescent="0.25">
      <c r="F1448" s="3"/>
      <c r="G1448" s="3"/>
    </row>
    <row r="1449" spans="6:7" x14ac:dyDescent="0.25">
      <c r="F1449" s="3"/>
      <c r="G1449" s="3"/>
    </row>
    <row r="1450" spans="6:7" x14ac:dyDescent="0.25">
      <c r="F1450" s="3"/>
      <c r="G1450" s="3"/>
    </row>
    <row r="1451" spans="6:7" x14ac:dyDescent="0.25">
      <c r="F1451" s="3"/>
      <c r="G1451" s="3"/>
    </row>
    <row r="1452" spans="6:7" x14ac:dyDescent="0.25">
      <c r="F1452" s="3"/>
      <c r="G1452" s="3"/>
    </row>
    <row r="1453" spans="6:7" x14ac:dyDescent="0.25">
      <c r="F1453" s="3"/>
      <c r="G1453" s="3"/>
    </row>
    <row r="1454" spans="6:7" x14ac:dyDescent="0.25">
      <c r="F1454" s="3"/>
      <c r="G1454" s="3"/>
    </row>
    <row r="1455" spans="6:7" x14ac:dyDescent="0.25">
      <c r="F1455" s="3"/>
      <c r="G1455" s="3"/>
    </row>
    <row r="1456" spans="6:7" x14ac:dyDescent="0.25">
      <c r="F1456" s="3"/>
      <c r="G1456" s="3"/>
    </row>
    <row r="1457" spans="6:7" x14ac:dyDescent="0.25">
      <c r="F1457" s="3"/>
      <c r="G1457" s="3"/>
    </row>
    <row r="1458" spans="6:7" x14ac:dyDescent="0.25">
      <c r="F1458" s="3"/>
      <c r="G1458" s="3"/>
    </row>
    <row r="1459" spans="6:7" x14ac:dyDescent="0.25">
      <c r="F1459" s="3"/>
      <c r="G1459" s="3"/>
    </row>
    <row r="1460" spans="6:7" x14ac:dyDescent="0.25">
      <c r="F1460" s="3"/>
      <c r="G1460" s="3"/>
    </row>
    <row r="1461" spans="6:7" x14ac:dyDescent="0.25">
      <c r="F1461" s="3"/>
      <c r="G1461" s="3"/>
    </row>
    <row r="1462" spans="6:7" x14ac:dyDescent="0.25">
      <c r="F1462" s="3"/>
      <c r="G1462" s="3"/>
    </row>
    <row r="1463" spans="6:7" x14ac:dyDescent="0.25">
      <c r="F1463" s="3"/>
      <c r="G1463" s="3"/>
    </row>
    <row r="1464" spans="6:7" x14ac:dyDescent="0.25">
      <c r="F1464" s="3"/>
      <c r="G1464" s="3"/>
    </row>
    <row r="1465" spans="6:7" x14ac:dyDescent="0.25">
      <c r="F1465" s="3"/>
      <c r="G1465" s="3"/>
    </row>
    <row r="1466" spans="6:7" x14ac:dyDescent="0.25">
      <c r="F1466" s="3"/>
      <c r="G1466" s="3"/>
    </row>
    <row r="1467" spans="6:7" x14ac:dyDescent="0.25">
      <c r="F1467" s="3"/>
      <c r="G1467" s="3"/>
    </row>
    <row r="1468" spans="6:7" x14ac:dyDescent="0.25">
      <c r="F1468" s="3"/>
      <c r="G1468" s="3"/>
    </row>
    <row r="1469" spans="6:7" x14ac:dyDescent="0.25">
      <c r="F1469" s="3"/>
      <c r="G1469" s="3"/>
    </row>
    <row r="1470" spans="6:7" x14ac:dyDescent="0.25">
      <c r="F1470" s="3"/>
      <c r="G1470" s="3"/>
    </row>
    <row r="1471" spans="6:7" x14ac:dyDescent="0.25">
      <c r="F1471" s="3"/>
      <c r="G1471" s="3"/>
    </row>
    <row r="1472" spans="6:7" x14ac:dyDescent="0.25">
      <c r="F1472" s="3"/>
      <c r="G1472" s="3"/>
    </row>
    <row r="1473" spans="6:7" x14ac:dyDescent="0.25">
      <c r="F1473" s="3"/>
      <c r="G1473" s="3"/>
    </row>
    <row r="1474" spans="6:7" x14ac:dyDescent="0.25">
      <c r="F1474" s="3"/>
      <c r="G1474" s="3"/>
    </row>
    <row r="1475" spans="6:7" x14ac:dyDescent="0.25">
      <c r="F1475" s="3"/>
      <c r="G1475" s="3"/>
    </row>
    <row r="1476" spans="6:7" x14ac:dyDescent="0.25">
      <c r="F1476" s="3"/>
      <c r="G1476" s="3"/>
    </row>
    <row r="1477" spans="6:7" x14ac:dyDescent="0.25">
      <c r="F1477" s="3"/>
      <c r="G1477" s="3"/>
    </row>
    <row r="1478" spans="6:7" x14ac:dyDescent="0.25">
      <c r="F1478" s="3"/>
      <c r="G1478" s="3"/>
    </row>
    <row r="1479" spans="6:7" x14ac:dyDescent="0.25">
      <c r="F1479" s="3"/>
      <c r="G1479" s="3"/>
    </row>
    <row r="1480" spans="6:7" x14ac:dyDescent="0.25">
      <c r="F1480" s="3"/>
      <c r="G1480" s="3"/>
    </row>
    <row r="1481" spans="6:7" x14ac:dyDescent="0.25">
      <c r="F1481" s="3"/>
      <c r="G1481" s="3"/>
    </row>
    <row r="1482" spans="6:7" x14ac:dyDescent="0.25">
      <c r="F1482" s="3"/>
      <c r="G1482" s="3"/>
    </row>
    <row r="1483" spans="6:7" x14ac:dyDescent="0.25">
      <c r="F1483" s="3"/>
      <c r="G1483" s="3"/>
    </row>
    <row r="1484" spans="6:7" x14ac:dyDescent="0.25">
      <c r="F1484" s="3"/>
      <c r="G1484" s="3"/>
    </row>
    <row r="1485" spans="6:7" x14ac:dyDescent="0.25">
      <c r="F1485" s="3"/>
      <c r="G1485" s="3"/>
    </row>
    <row r="1486" spans="6:7" x14ac:dyDescent="0.25">
      <c r="F1486" s="3"/>
      <c r="G1486" s="3"/>
    </row>
    <row r="1487" spans="6:7" x14ac:dyDescent="0.25">
      <c r="F1487" s="3"/>
      <c r="G1487" s="3"/>
    </row>
    <row r="1488" spans="6:7" x14ac:dyDescent="0.25">
      <c r="F1488" s="3"/>
      <c r="G1488" s="3"/>
    </row>
    <row r="1489" spans="6:7" x14ac:dyDescent="0.25">
      <c r="F1489" s="3"/>
      <c r="G1489" s="3"/>
    </row>
    <row r="1490" spans="6:7" x14ac:dyDescent="0.25">
      <c r="F1490" s="3"/>
      <c r="G1490" s="3"/>
    </row>
    <row r="1491" spans="6:7" x14ac:dyDescent="0.25">
      <c r="F1491" s="3"/>
      <c r="G1491" s="3"/>
    </row>
    <row r="1492" spans="6:7" x14ac:dyDescent="0.25">
      <c r="F1492" s="3"/>
      <c r="G1492" s="3"/>
    </row>
    <row r="1493" spans="6:7" x14ac:dyDescent="0.25">
      <c r="F1493" s="3"/>
      <c r="G1493" s="3"/>
    </row>
    <row r="1494" spans="6:7" x14ac:dyDescent="0.25">
      <c r="F1494" s="3"/>
      <c r="G1494" s="3"/>
    </row>
    <row r="1495" spans="6:7" x14ac:dyDescent="0.25">
      <c r="F1495" s="3"/>
      <c r="G1495" s="3"/>
    </row>
    <row r="1496" spans="6:7" x14ac:dyDescent="0.25">
      <c r="F1496" s="3"/>
      <c r="G1496" s="3"/>
    </row>
    <row r="1497" spans="6:7" x14ac:dyDescent="0.25">
      <c r="F1497" s="3"/>
      <c r="G1497" s="3"/>
    </row>
    <row r="1498" spans="6:7" x14ac:dyDescent="0.25">
      <c r="F1498" s="3"/>
      <c r="G1498" s="3"/>
    </row>
    <row r="1499" spans="6:7" x14ac:dyDescent="0.25">
      <c r="F1499" s="3"/>
      <c r="G1499" s="3"/>
    </row>
    <row r="1500" spans="6:7" x14ac:dyDescent="0.25">
      <c r="F1500" s="3"/>
      <c r="G1500" s="3"/>
    </row>
    <row r="1501" spans="6:7" x14ac:dyDescent="0.25">
      <c r="F1501" s="3"/>
      <c r="G1501" s="3"/>
    </row>
    <row r="1502" spans="6:7" x14ac:dyDescent="0.25">
      <c r="F1502" s="3"/>
      <c r="G1502" s="3"/>
    </row>
    <row r="1503" spans="6:7" x14ac:dyDescent="0.25">
      <c r="F1503" s="3"/>
      <c r="G1503" s="3"/>
    </row>
    <row r="1504" spans="6:7" x14ac:dyDescent="0.25">
      <c r="F1504" s="3"/>
      <c r="G1504" s="3"/>
    </row>
    <row r="1505" spans="6:7" x14ac:dyDescent="0.25">
      <c r="F1505" s="3"/>
      <c r="G1505" s="3"/>
    </row>
    <row r="1506" spans="6:7" x14ac:dyDescent="0.25">
      <c r="F1506" s="3"/>
      <c r="G1506" s="3"/>
    </row>
    <row r="1507" spans="6:7" x14ac:dyDescent="0.25">
      <c r="F1507" s="3"/>
      <c r="G1507" s="3"/>
    </row>
    <row r="1508" spans="6:7" x14ac:dyDescent="0.25">
      <c r="F1508" s="3"/>
      <c r="G1508" s="3"/>
    </row>
    <row r="1509" spans="6:7" x14ac:dyDescent="0.25">
      <c r="F1509" s="3"/>
      <c r="G1509" s="3"/>
    </row>
    <row r="1510" spans="6:7" x14ac:dyDescent="0.25">
      <c r="F1510" s="3"/>
      <c r="G1510" s="3"/>
    </row>
    <row r="1511" spans="6:7" x14ac:dyDescent="0.25">
      <c r="F1511" s="3"/>
      <c r="G1511" s="3"/>
    </row>
    <row r="1512" spans="6:7" x14ac:dyDescent="0.25">
      <c r="F1512" s="3"/>
      <c r="G1512" s="3"/>
    </row>
    <row r="1513" spans="6:7" x14ac:dyDescent="0.25">
      <c r="F1513" s="3"/>
      <c r="G1513" s="3"/>
    </row>
    <row r="1514" spans="6:7" x14ac:dyDescent="0.25">
      <c r="F1514" s="3"/>
      <c r="G1514" s="3"/>
    </row>
    <row r="1515" spans="6:7" x14ac:dyDescent="0.25">
      <c r="F1515" s="3"/>
      <c r="G1515" s="3"/>
    </row>
    <row r="1516" spans="6:7" x14ac:dyDescent="0.25">
      <c r="F1516" s="3"/>
      <c r="G1516" s="3"/>
    </row>
    <row r="1517" spans="6:7" x14ac:dyDescent="0.25">
      <c r="F1517" s="3"/>
      <c r="G1517" s="3"/>
    </row>
    <row r="1518" spans="6:7" x14ac:dyDescent="0.25">
      <c r="F1518" s="3"/>
      <c r="G1518" s="3"/>
    </row>
    <row r="1519" spans="6:7" x14ac:dyDescent="0.25">
      <c r="F1519" s="3"/>
      <c r="G1519" s="3"/>
    </row>
    <row r="1520" spans="6:7" x14ac:dyDescent="0.25">
      <c r="F1520" s="3"/>
      <c r="G1520" s="3"/>
    </row>
    <row r="1521" spans="6:7" x14ac:dyDescent="0.25">
      <c r="F1521" s="3"/>
      <c r="G1521" s="3"/>
    </row>
    <row r="1522" spans="6:7" x14ac:dyDescent="0.25">
      <c r="F1522" s="3"/>
      <c r="G1522" s="3"/>
    </row>
    <row r="1523" spans="6:7" x14ac:dyDescent="0.25">
      <c r="F1523" s="3"/>
      <c r="G1523" s="3"/>
    </row>
    <row r="1524" spans="6:7" x14ac:dyDescent="0.25">
      <c r="F1524" s="3"/>
      <c r="G1524" s="3"/>
    </row>
    <row r="1525" spans="6:7" x14ac:dyDescent="0.25">
      <c r="F1525" s="3"/>
      <c r="G1525" s="3"/>
    </row>
    <row r="1526" spans="6:7" x14ac:dyDescent="0.25">
      <c r="F1526" s="3"/>
      <c r="G1526" s="3"/>
    </row>
    <row r="1527" spans="6:7" x14ac:dyDescent="0.25">
      <c r="F1527" s="3"/>
      <c r="G1527" s="3"/>
    </row>
    <row r="1528" spans="6:7" x14ac:dyDescent="0.25">
      <c r="F1528" s="3"/>
      <c r="G1528" s="3"/>
    </row>
    <row r="1529" spans="6:7" x14ac:dyDescent="0.25">
      <c r="F1529" s="3"/>
      <c r="G1529" s="3"/>
    </row>
    <row r="1530" spans="6:7" x14ac:dyDescent="0.25">
      <c r="F1530" s="3"/>
      <c r="G1530" s="3"/>
    </row>
    <row r="1531" spans="6:7" x14ac:dyDescent="0.25">
      <c r="F1531" s="3"/>
      <c r="G1531" s="3"/>
    </row>
    <row r="1532" spans="6:7" x14ac:dyDescent="0.25">
      <c r="F1532" s="3"/>
      <c r="G1532" s="3"/>
    </row>
    <row r="1533" spans="6:7" x14ac:dyDescent="0.25">
      <c r="F1533" s="3"/>
      <c r="G1533" s="3"/>
    </row>
    <row r="1534" spans="6:7" x14ac:dyDescent="0.25">
      <c r="F1534" s="3"/>
      <c r="G1534" s="3"/>
    </row>
    <row r="1535" spans="6:7" x14ac:dyDescent="0.25">
      <c r="F1535" s="3"/>
      <c r="G1535" s="3"/>
    </row>
    <row r="1536" spans="6:7" x14ac:dyDescent="0.25">
      <c r="F1536" s="3"/>
      <c r="G1536" s="3"/>
    </row>
    <row r="1537" spans="6:7" x14ac:dyDescent="0.25">
      <c r="F1537" s="3"/>
      <c r="G1537" s="3"/>
    </row>
    <row r="1538" spans="6:7" x14ac:dyDescent="0.25">
      <c r="F1538" s="3"/>
      <c r="G1538" s="3"/>
    </row>
    <row r="1539" spans="6:7" x14ac:dyDescent="0.25">
      <c r="F1539" s="3"/>
      <c r="G1539" s="3"/>
    </row>
    <row r="1540" spans="6:7" x14ac:dyDescent="0.25">
      <c r="F1540" s="3"/>
      <c r="G1540" s="3"/>
    </row>
    <row r="1541" spans="6:7" x14ac:dyDescent="0.25">
      <c r="F1541" s="3"/>
      <c r="G1541" s="3"/>
    </row>
    <row r="1542" spans="6:7" x14ac:dyDescent="0.25">
      <c r="F1542" s="3"/>
      <c r="G1542" s="3"/>
    </row>
    <row r="1543" spans="6:7" x14ac:dyDescent="0.25">
      <c r="F1543" s="3"/>
      <c r="G1543" s="3"/>
    </row>
    <row r="1544" spans="6:7" x14ac:dyDescent="0.25">
      <c r="F1544" s="3"/>
      <c r="G1544" s="3"/>
    </row>
    <row r="1545" spans="6:7" x14ac:dyDescent="0.25">
      <c r="F1545" s="3"/>
      <c r="G1545" s="3"/>
    </row>
    <row r="1546" spans="6:7" x14ac:dyDescent="0.25">
      <c r="F1546" s="3"/>
      <c r="G1546" s="3"/>
    </row>
    <row r="1547" spans="6:7" x14ac:dyDescent="0.25">
      <c r="F1547" s="3"/>
      <c r="G1547" s="3"/>
    </row>
    <row r="1548" spans="6:7" x14ac:dyDescent="0.25">
      <c r="F1548" s="3"/>
      <c r="G1548" s="3"/>
    </row>
    <row r="1549" spans="6:7" x14ac:dyDescent="0.25">
      <c r="F1549" s="3"/>
      <c r="G1549" s="3"/>
    </row>
    <row r="1550" spans="6:7" x14ac:dyDescent="0.25">
      <c r="F1550" s="3"/>
      <c r="G1550" s="3"/>
    </row>
    <row r="1551" spans="6:7" x14ac:dyDescent="0.25">
      <c r="F1551" s="3"/>
      <c r="G1551" s="3"/>
    </row>
    <row r="1552" spans="6:7" x14ac:dyDescent="0.25">
      <c r="F1552" s="3"/>
      <c r="G1552" s="3"/>
    </row>
    <row r="1553" spans="6:7" x14ac:dyDescent="0.25">
      <c r="F1553" s="3"/>
      <c r="G1553" s="3"/>
    </row>
    <row r="1554" spans="6:7" x14ac:dyDescent="0.25">
      <c r="F1554" s="3"/>
      <c r="G1554" s="3"/>
    </row>
    <row r="1555" spans="6:7" x14ac:dyDescent="0.25">
      <c r="F1555" s="3"/>
      <c r="G1555" s="3"/>
    </row>
    <row r="1556" spans="6:7" x14ac:dyDescent="0.25">
      <c r="F1556" s="3"/>
      <c r="G1556" s="3"/>
    </row>
    <row r="1557" spans="6:7" x14ac:dyDescent="0.25">
      <c r="F1557" s="3"/>
      <c r="G1557" s="3"/>
    </row>
    <row r="1558" spans="6:7" x14ac:dyDescent="0.25">
      <c r="F1558" s="3"/>
      <c r="G1558" s="3"/>
    </row>
    <row r="1559" spans="6:7" x14ac:dyDescent="0.25">
      <c r="F1559" s="3"/>
      <c r="G1559" s="3"/>
    </row>
    <row r="1560" spans="6:7" x14ac:dyDescent="0.25">
      <c r="F1560" s="3"/>
      <c r="G1560" s="3"/>
    </row>
    <row r="1561" spans="6:7" x14ac:dyDescent="0.25">
      <c r="F1561" s="3"/>
      <c r="G1561" s="3"/>
    </row>
    <row r="1562" spans="6:7" x14ac:dyDescent="0.25">
      <c r="F1562" s="3"/>
      <c r="G1562" s="3"/>
    </row>
    <row r="1563" spans="6:7" x14ac:dyDescent="0.25">
      <c r="F1563" s="3"/>
      <c r="G1563" s="3"/>
    </row>
    <row r="1564" spans="6:7" x14ac:dyDescent="0.25">
      <c r="F1564" s="3"/>
      <c r="G1564" s="3"/>
    </row>
    <row r="1565" spans="6:7" x14ac:dyDescent="0.25">
      <c r="F1565" s="3"/>
      <c r="G1565" s="3"/>
    </row>
    <row r="1566" spans="6:7" x14ac:dyDescent="0.25">
      <c r="F1566" s="3"/>
      <c r="G1566" s="3"/>
    </row>
    <row r="1567" spans="6:7" x14ac:dyDescent="0.25">
      <c r="F1567" s="3"/>
      <c r="G1567" s="3"/>
    </row>
    <row r="1568" spans="6:7" x14ac:dyDescent="0.25">
      <c r="F1568" s="3"/>
      <c r="G1568" s="3"/>
    </row>
    <row r="1569" spans="6:7" x14ac:dyDescent="0.25">
      <c r="F1569" s="3"/>
      <c r="G1569" s="3"/>
    </row>
    <row r="1570" spans="6:7" x14ac:dyDescent="0.25">
      <c r="F1570" s="3"/>
      <c r="G1570" s="3"/>
    </row>
    <row r="1571" spans="6:7" x14ac:dyDescent="0.25">
      <c r="F1571" s="3"/>
      <c r="G1571" s="3"/>
    </row>
    <row r="1572" spans="6:7" x14ac:dyDescent="0.25">
      <c r="F1572" s="3"/>
      <c r="G1572" s="3"/>
    </row>
    <row r="1573" spans="6:7" x14ac:dyDescent="0.25">
      <c r="F1573" s="3"/>
      <c r="G1573" s="3"/>
    </row>
    <row r="1574" spans="6:7" x14ac:dyDescent="0.25">
      <c r="F1574" s="3"/>
      <c r="G1574" s="3"/>
    </row>
    <row r="1575" spans="6:7" x14ac:dyDescent="0.25">
      <c r="F1575" s="3"/>
      <c r="G1575" s="3"/>
    </row>
    <row r="1576" spans="6:7" x14ac:dyDescent="0.25">
      <c r="F1576" s="3"/>
      <c r="G1576" s="3"/>
    </row>
    <row r="1577" spans="6:7" x14ac:dyDescent="0.25">
      <c r="F1577" s="3"/>
      <c r="G1577" s="3"/>
    </row>
    <row r="1578" spans="6:7" x14ac:dyDescent="0.25">
      <c r="F1578" s="3"/>
      <c r="G1578" s="3"/>
    </row>
    <row r="1579" spans="6:7" x14ac:dyDescent="0.25">
      <c r="F1579" s="3"/>
      <c r="G1579" s="3"/>
    </row>
    <row r="1580" spans="6:7" x14ac:dyDescent="0.25">
      <c r="F1580" s="3"/>
      <c r="G1580" s="3"/>
    </row>
    <row r="1581" spans="6:7" x14ac:dyDescent="0.25">
      <c r="F1581" s="3"/>
      <c r="G1581" s="3"/>
    </row>
    <row r="1582" spans="6:7" x14ac:dyDescent="0.25">
      <c r="F1582" s="3"/>
      <c r="G1582" s="3"/>
    </row>
    <row r="1583" spans="6:7" x14ac:dyDescent="0.25">
      <c r="F1583" s="3"/>
      <c r="G1583" s="3"/>
    </row>
    <row r="1584" spans="6:7" x14ac:dyDescent="0.25">
      <c r="F1584" s="3"/>
      <c r="G1584" s="3"/>
    </row>
    <row r="1585" spans="6:7" x14ac:dyDescent="0.25">
      <c r="F1585" s="3"/>
      <c r="G1585" s="3"/>
    </row>
    <row r="1586" spans="6:7" x14ac:dyDescent="0.25">
      <c r="F1586" s="3"/>
      <c r="G1586" s="3"/>
    </row>
    <row r="1587" spans="6:7" x14ac:dyDescent="0.25">
      <c r="F1587" s="3"/>
      <c r="G1587" s="3"/>
    </row>
    <row r="1588" spans="6:7" x14ac:dyDescent="0.25">
      <c r="F1588" s="3"/>
      <c r="G1588" s="3"/>
    </row>
    <row r="1589" spans="6:7" x14ac:dyDescent="0.25">
      <c r="F1589" s="3"/>
      <c r="G1589" s="3"/>
    </row>
    <row r="1590" spans="6:7" x14ac:dyDescent="0.25">
      <c r="F1590" s="3"/>
      <c r="G1590" s="3"/>
    </row>
    <row r="1591" spans="6:7" x14ac:dyDescent="0.25">
      <c r="F1591" s="3"/>
      <c r="G1591" s="3"/>
    </row>
    <row r="1592" spans="6:7" x14ac:dyDescent="0.25">
      <c r="F1592" s="3"/>
      <c r="G1592" s="3"/>
    </row>
    <row r="1593" spans="6:7" x14ac:dyDescent="0.25">
      <c r="F1593" s="3"/>
      <c r="G1593" s="3"/>
    </row>
    <row r="1594" spans="6:7" x14ac:dyDescent="0.25">
      <c r="F1594" s="3"/>
      <c r="G1594" s="3"/>
    </row>
    <row r="1595" spans="6:7" x14ac:dyDescent="0.25">
      <c r="F1595" s="3"/>
      <c r="G1595" s="3"/>
    </row>
    <row r="1596" spans="6:7" x14ac:dyDescent="0.25">
      <c r="F1596" s="3"/>
      <c r="G1596" s="3"/>
    </row>
    <row r="1597" spans="6:7" x14ac:dyDescent="0.25">
      <c r="F1597" s="3"/>
      <c r="G1597" s="3"/>
    </row>
    <row r="1598" spans="6:7" x14ac:dyDescent="0.25">
      <c r="F1598" s="3"/>
      <c r="G1598" s="3"/>
    </row>
    <row r="1599" spans="6:7" x14ac:dyDescent="0.25">
      <c r="F1599" s="3"/>
      <c r="G1599" s="3"/>
    </row>
    <row r="1600" spans="6:7" x14ac:dyDescent="0.25">
      <c r="F1600" s="3"/>
      <c r="G1600" s="3"/>
    </row>
    <row r="1601" spans="6:7" x14ac:dyDescent="0.25">
      <c r="F1601" s="3"/>
      <c r="G1601" s="3"/>
    </row>
    <row r="1602" spans="6:7" x14ac:dyDescent="0.25">
      <c r="F1602" s="3"/>
      <c r="G1602" s="3"/>
    </row>
    <row r="1603" spans="6:7" x14ac:dyDescent="0.25">
      <c r="F1603" s="3"/>
      <c r="G1603" s="3"/>
    </row>
    <row r="1604" spans="6:7" x14ac:dyDescent="0.25">
      <c r="F1604" s="3"/>
      <c r="G1604" s="3"/>
    </row>
    <row r="1605" spans="6:7" x14ac:dyDescent="0.25">
      <c r="F1605" s="3"/>
      <c r="G1605" s="3"/>
    </row>
    <row r="1606" spans="6:7" x14ac:dyDescent="0.25">
      <c r="F1606" s="3"/>
      <c r="G1606" s="3"/>
    </row>
    <row r="1607" spans="6:7" x14ac:dyDescent="0.25">
      <c r="F1607" s="3"/>
      <c r="G1607" s="3"/>
    </row>
    <row r="1608" spans="6:7" x14ac:dyDescent="0.25">
      <c r="F1608" s="3"/>
      <c r="G1608" s="3"/>
    </row>
    <row r="1609" spans="6:7" x14ac:dyDescent="0.25">
      <c r="F1609" s="3"/>
      <c r="G1609" s="3"/>
    </row>
    <row r="1610" spans="6:7" x14ac:dyDescent="0.25">
      <c r="F1610" s="3"/>
      <c r="G1610" s="3"/>
    </row>
    <row r="1611" spans="6:7" x14ac:dyDescent="0.25">
      <c r="F1611" s="3"/>
      <c r="G1611" s="3"/>
    </row>
    <row r="1612" spans="6:7" x14ac:dyDescent="0.25">
      <c r="F1612" s="3"/>
      <c r="G1612" s="3"/>
    </row>
    <row r="1613" spans="6:7" x14ac:dyDescent="0.25">
      <c r="F1613" s="3"/>
      <c r="G1613" s="3"/>
    </row>
    <row r="1614" spans="6:7" x14ac:dyDescent="0.25">
      <c r="F1614" s="3"/>
      <c r="G1614" s="3"/>
    </row>
    <row r="1615" spans="6:7" x14ac:dyDescent="0.25">
      <c r="F1615" s="3"/>
      <c r="G1615" s="3"/>
    </row>
    <row r="1616" spans="6:7" x14ac:dyDescent="0.25">
      <c r="F1616" s="3"/>
      <c r="G1616" s="3"/>
    </row>
    <row r="1617" spans="6:7" x14ac:dyDescent="0.25">
      <c r="F1617" s="3"/>
      <c r="G1617" s="3"/>
    </row>
    <row r="1618" spans="6:7" x14ac:dyDescent="0.25">
      <c r="F1618" s="3"/>
      <c r="G1618" s="3"/>
    </row>
    <row r="1619" spans="6:7" x14ac:dyDescent="0.25">
      <c r="F1619" s="3"/>
      <c r="G1619" s="3"/>
    </row>
    <row r="1620" spans="6:7" x14ac:dyDescent="0.25">
      <c r="F1620" s="3"/>
      <c r="G1620" s="3"/>
    </row>
    <row r="1621" spans="6:7" x14ac:dyDescent="0.25">
      <c r="F1621" s="3"/>
      <c r="G1621" s="3"/>
    </row>
    <row r="1622" spans="6:7" x14ac:dyDescent="0.25">
      <c r="F1622" s="3"/>
      <c r="G1622" s="3"/>
    </row>
    <row r="1623" spans="6:7" x14ac:dyDescent="0.25">
      <c r="F1623" s="3"/>
      <c r="G1623" s="3"/>
    </row>
    <row r="1624" spans="6:7" x14ac:dyDescent="0.25">
      <c r="F1624" s="3"/>
      <c r="G1624" s="3"/>
    </row>
    <row r="1625" spans="6:7" x14ac:dyDescent="0.25">
      <c r="F1625" s="3"/>
      <c r="G1625" s="3"/>
    </row>
    <row r="1626" spans="6:7" x14ac:dyDescent="0.25">
      <c r="F1626" s="3"/>
      <c r="G1626" s="3"/>
    </row>
    <row r="1627" spans="6:7" x14ac:dyDescent="0.25">
      <c r="F1627" s="3"/>
      <c r="G1627" s="3"/>
    </row>
    <row r="1628" spans="6:7" x14ac:dyDescent="0.25">
      <c r="F1628" s="3"/>
      <c r="G1628" s="3"/>
    </row>
    <row r="1629" spans="6:7" x14ac:dyDescent="0.25">
      <c r="F1629" s="3"/>
      <c r="G1629" s="3"/>
    </row>
    <row r="1630" spans="6:7" x14ac:dyDescent="0.25">
      <c r="F1630" s="3"/>
      <c r="G1630" s="3"/>
    </row>
    <row r="1631" spans="6:7" x14ac:dyDescent="0.25">
      <c r="F1631" s="3"/>
      <c r="G1631" s="3"/>
    </row>
    <row r="1632" spans="6:7" x14ac:dyDescent="0.25">
      <c r="F1632" s="3"/>
      <c r="G1632" s="3"/>
    </row>
    <row r="1633" spans="6:7" x14ac:dyDescent="0.25">
      <c r="F1633" s="3"/>
      <c r="G1633" s="3"/>
    </row>
    <row r="1634" spans="6:7" x14ac:dyDescent="0.25">
      <c r="F1634" s="3"/>
      <c r="G1634" s="3"/>
    </row>
    <row r="1635" spans="6:7" x14ac:dyDescent="0.25">
      <c r="F1635" s="3"/>
      <c r="G1635" s="3"/>
    </row>
    <row r="1636" spans="6:7" x14ac:dyDescent="0.25">
      <c r="F1636" s="3"/>
      <c r="G1636" s="3"/>
    </row>
    <row r="1637" spans="6:7" x14ac:dyDescent="0.25">
      <c r="F1637" s="3"/>
      <c r="G1637" s="3"/>
    </row>
    <row r="1638" spans="6:7" x14ac:dyDescent="0.25">
      <c r="F1638" s="3"/>
      <c r="G1638" s="3"/>
    </row>
    <row r="1639" spans="6:7" x14ac:dyDescent="0.25">
      <c r="F1639" s="3"/>
      <c r="G1639" s="3"/>
    </row>
    <row r="1640" spans="6:7" x14ac:dyDescent="0.25">
      <c r="F1640" s="3"/>
      <c r="G1640" s="3"/>
    </row>
    <row r="1641" spans="6:7" x14ac:dyDescent="0.25">
      <c r="F1641" s="3"/>
      <c r="G1641" s="3"/>
    </row>
    <row r="1642" spans="6:7" x14ac:dyDescent="0.25">
      <c r="F1642" s="3"/>
      <c r="G1642" s="3"/>
    </row>
    <row r="1643" spans="6:7" x14ac:dyDescent="0.25">
      <c r="F1643" s="3"/>
      <c r="G1643" s="3"/>
    </row>
    <row r="1644" spans="6:7" x14ac:dyDescent="0.25">
      <c r="F1644" s="3"/>
      <c r="G1644" s="3"/>
    </row>
    <row r="1645" spans="6:7" x14ac:dyDescent="0.25">
      <c r="F1645" s="3"/>
      <c r="G1645" s="3"/>
    </row>
    <row r="1646" spans="6:7" x14ac:dyDescent="0.25">
      <c r="F1646" s="3"/>
      <c r="G1646" s="3"/>
    </row>
    <row r="1647" spans="6:7" x14ac:dyDescent="0.25">
      <c r="F1647" s="3"/>
      <c r="G1647" s="3"/>
    </row>
    <row r="1648" spans="6:7" x14ac:dyDescent="0.25">
      <c r="F1648" s="3"/>
      <c r="G1648" s="3"/>
    </row>
    <row r="1649" spans="6:7" x14ac:dyDescent="0.25">
      <c r="F1649" s="3"/>
      <c r="G1649" s="3"/>
    </row>
    <row r="1650" spans="6:7" x14ac:dyDescent="0.25">
      <c r="F1650" s="3"/>
      <c r="G1650" s="3"/>
    </row>
    <row r="1651" spans="6:7" x14ac:dyDescent="0.25">
      <c r="F1651" s="3"/>
      <c r="G1651" s="3"/>
    </row>
    <row r="1652" spans="6:7" x14ac:dyDescent="0.25">
      <c r="F1652" s="3"/>
      <c r="G1652" s="3"/>
    </row>
    <row r="1653" spans="6:7" x14ac:dyDescent="0.25">
      <c r="F1653" s="3"/>
      <c r="G1653" s="3"/>
    </row>
    <row r="1654" spans="6:7" x14ac:dyDescent="0.25">
      <c r="F1654" s="3"/>
      <c r="G1654" s="3"/>
    </row>
    <row r="1655" spans="6:7" x14ac:dyDescent="0.25">
      <c r="F1655" s="3"/>
      <c r="G1655" s="3"/>
    </row>
    <row r="1656" spans="6:7" x14ac:dyDescent="0.25">
      <c r="F1656" s="3"/>
      <c r="G1656" s="3"/>
    </row>
    <row r="1657" spans="6:7" x14ac:dyDescent="0.25">
      <c r="F1657" s="3"/>
      <c r="G1657" s="3"/>
    </row>
    <row r="1658" spans="6:7" x14ac:dyDescent="0.25">
      <c r="F1658" s="3"/>
      <c r="G1658" s="3"/>
    </row>
    <row r="1659" spans="6:7" x14ac:dyDescent="0.25">
      <c r="F1659" s="3"/>
      <c r="G1659" s="3"/>
    </row>
    <row r="1660" spans="6:7" x14ac:dyDescent="0.25">
      <c r="F1660" s="3"/>
      <c r="G1660" s="3"/>
    </row>
    <row r="1661" spans="6:7" x14ac:dyDescent="0.25">
      <c r="F1661" s="3"/>
      <c r="G1661" s="3"/>
    </row>
    <row r="1662" spans="6:7" x14ac:dyDescent="0.25">
      <c r="F1662" s="3"/>
      <c r="G1662" s="3"/>
    </row>
    <row r="1663" spans="6:7" x14ac:dyDescent="0.25">
      <c r="F1663" s="3"/>
      <c r="G1663" s="3"/>
    </row>
    <row r="1664" spans="6:7" x14ac:dyDescent="0.25">
      <c r="F1664" s="3"/>
      <c r="G1664" s="3"/>
    </row>
    <row r="1665" spans="6:7" x14ac:dyDescent="0.25">
      <c r="F1665" s="3"/>
      <c r="G1665" s="3"/>
    </row>
    <row r="1666" spans="6:7" x14ac:dyDescent="0.25">
      <c r="F1666" s="3"/>
      <c r="G1666" s="3"/>
    </row>
    <row r="1667" spans="6:7" x14ac:dyDescent="0.25">
      <c r="F1667" s="3"/>
      <c r="G1667" s="3"/>
    </row>
    <row r="1668" spans="6:7" x14ac:dyDescent="0.25">
      <c r="F1668" s="3"/>
      <c r="G1668" s="3"/>
    </row>
    <row r="1669" spans="6:7" x14ac:dyDescent="0.25">
      <c r="F1669" s="3"/>
      <c r="G1669" s="3"/>
    </row>
    <row r="1670" spans="6:7" x14ac:dyDescent="0.25">
      <c r="F1670" s="3"/>
      <c r="G1670" s="3"/>
    </row>
    <row r="1671" spans="6:7" x14ac:dyDescent="0.25">
      <c r="F1671" s="3"/>
      <c r="G1671" s="3"/>
    </row>
    <row r="1672" spans="6:7" x14ac:dyDescent="0.25">
      <c r="F1672" s="3"/>
      <c r="G1672" s="3"/>
    </row>
    <row r="1673" spans="6:7" x14ac:dyDescent="0.25">
      <c r="F1673" s="3"/>
      <c r="G1673" s="3"/>
    </row>
    <row r="1674" spans="6:7" x14ac:dyDescent="0.25">
      <c r="F1674" s="3"/>
      <c r="G1674" s="3"/>
    </row>
    <row r="1675" spans="6:7" x14ac:dyDescent="0.25">
      <c r="F1675" s="3"/>
      <c r="G1675" s="3"/>
    </row>
    <row r="1676" spans="6:7" x14ac:dyDescent="0.25">
      <c r="F1676" s="3"/>
      <c r="G1676" s="3"/>
    </row>
    <row r="1677" spans="6:7" x14ac:dyDescent="0.25">
      <c r="F1677" s="3"/>
      <c r="G1677" s="3"/>
    </row>
    <row r="1678" spans="6:7" x14ac:dyDescent="0.25">
      <c r="F1678" s="3"/>
      <c r="G1678" s="3"/>
    </row>
    <row r="1679" spans="6:7" x14ac:dyDescent="0.25">
      <c r="F1679" s="3"/>
      <c r="G1679" s="3"/>
    </row>
    <row r="1680" spans="6:7" x14ac:dyDescent="0.25">
      <c r="F1680" s="3"/>
      <c r="G1680" s="3"/>
    </row>
    <row r="1681" spans="6:7" x14ac:dyDescent="0.25">
      <c r="F1681" s="3"/>
      <c r="G1681" s="3"/>
    </row>
    <row r="1682" spans="6:7" x14ac:dyDescent="0.25">
      <c r="F1682" s="3"/>
      <c r="G1682" s="3"/>
    </row>
    <row r="1683" spans="6:7" x14ac:dyDescent="0.25">
      <c r="F1683" s="3"/>
      <c r="G1683" s="3"/>
    </row>
    <row r="1684" spans="6:7" x14ac:dyDescent="0.25">
      <c r="F1684" s="3"/>
      <c r="G1684" s="3"/>
    </row>
    <row r="1685" spans="6:7" x14ac:dyDescent="0.25">
      <c r="F1685" s="3"/>
      <c r="G1685" s="3"/>
    </row>
    <row r="1686" spans="6:7" x14ac:dyDescent="0.25">
      <c r="F1686" s="3"/>
      <c r="G1686" s="3"/>
    </row>
    <row r="1687" spans="6:7" x14ac:dyDescent="0.25">
      <c r="F1687" s="3"/>
      <c r="G1687" s="3"/>
    </row>
    <row r="1688" spans="6:7" x14ac:dyDescent="0.25">
      <c r="F1688" s="3"/>
      <c r="G1688" s="3"/>
    </row>
    <row r="1689" spans="6:7" x14ac:dyDescent="0.25">
      <c r="F1689" s="3"/>
      <c r="G1689" s="3"/>
    </row>
    <row r="1690" spans="6:7" x14ac:dyDescent="0.25">
      <c r="F1690" s="3"/>
      <c r="G1690" s="3"/>
    </row>
    <row r="1691" spans="6:7" x14ac:dyDescent="0.25">
      <c r="F1691" s="3"/>
      <c r="G1691" s="3"/>
    </row>
    <row r="1692" spans="6:7" x14ac:dyDescent="0.25">
      <c r="F1692" s="3"/>
      <c r="G1692" s="3"/>
    </row>
    <row r="1693" spans="6:7" x14ac:dyDescent="0.25">
      <c r="F1693" s="3"/>
      <c r="G1693" s="3"/>
    </row>
    <row r="1694" spans="6:7" x14ac:dyDescent="0.25">
      <c r="F1694" s="3"/>
      <c r="G1694" s="3"/>
    </row>
    <row r="1695" spans="6:7" x14ac:dyDescent="0.25">
      <c r="F1695" s="3"/>
      <c r="G1695" s="3"/>
    </row>
    <row r="1696" spans="6:7" x14ac:dyDescent="0.25">
      <c r="F1696" s="3"/>
      <c r="G1696" s="3"/>
    </row>
    <row r="1697" spans="6:7" x14ac:dyDescent="0.25">
      <c r="F1697" s="3"/>
      <c r="G1697" s="3"/>
    </row>
    <row r="1698" spans="6:7" x14ac:dyDescent="0.25">
      <c r="F1698" s="3"/>
      <c r="G1698" s="3"/>
    </row>
    <row r="1699" spans="6:7" x14ac:dyDescent="0.25">
      <c r="F1699" s="3"/>
      <c r="G1699" s="3"/>
    </row>
    <row r="1700" spans="6:7" x14ac:dyDescent="0.25">
      <c r="F1700" s="3"/>
      <c r="G1700" s="3"/>
    </row>
    <row r="1701" spans="6:7" x14ac:dyDescent="0.25">
      <c r="F1701" s="3"/>
      <c r="G1701" s="3"/>
    </row>
    <row r="1702" spans="6:7" x14ac:dyDescent="0.25">
      <c r="F1702" s="3"/>
      <c r="G1702" s="3"/>
    </row>
    <row r="1703" spans="6:7" x14ac:dyDescent="0.25">
      <c r="F1703" s="3"/>
      <c r="G1703" s="3"/>
    </row>
    <row r="1704" spans="6:7" x14ac:dyDescent="0.25">
      <c r="F1704" s="3"/>
      <c r="G1704" s="3"/>
    </row>
    <row r="1705" spans="6:7" x14ac:dyDescent="0.25">
      <c r="F1705" s="3"/>
      <c r="G1705" s="3"/>
    </row>
    <row r="1706" spans="6:7" x14ac:dyDescent="0.25">
      <c r="F1706" s="3"/>
      <c r="G1706" s="3"/>
    </row>
    <row r="1707" spans="6:7" x14ac:dyDescent="0.25">
      <c r="F1707" s="3"/>
      <c r="G1707" s="3"/>
    </row>
    <row r="1708" spans="6:7" x14ac:dyDescent="0.25">
      <c r="F1708" s="3"/>
      <c r="G1708" s="3"/>
    </row>
    <row r="1709" spans="6:7" x14ac:dyDescent="0.25">
      <c r="F1709" s="3"/>
      <c r="G1709" s="3"/>
    </row>
    <row r="1710" spans="6:7" x14ac:dyDescent="0.25">
      <c r="F1710" s="3"/>
      <c r="G1710" s="3"/>
    </row>
    <row r="1711" spans="6:7" x14ac:dyDescent="0.25">
      <c r="F1711" s="3"/>
      <c r="G1711" s="3"/>
    </row>
    <row r="1712" spans="6:7" x14ac:dyDescent="0.25">
      <c r="F1712" s="3"/>
      <c r="G1712" s="3"/>
    </row>
    <row r="1713" spans="6:7" x14ac:dyDescent="0.25">
      <c r="F1713" s="3"/>
      <c r="G1713" s="3"/>
    </row>
    <row r="1714" spans="6:7" x14ac:dyDescent="0.25">
      <c r="F1714" s="3"/>
      <c r="G1714" s="3"/>
    </row>
    <row r="1715" spans="6:7" x14ac:dyDescent="0.25">
      <c r="F1715" s="3"/>
      <c r="G1715" s="3"/>
    </row>
    <row r="1716" spans="6:7" x14ac:dyDescent="0.25">
      <c r="F1716" s="3"/>
      <c r="G1716" s="3"/>
    </row>
    <row r="1717" spans="6:7" x14ac:dyDescent="0.25">
      <c r="F1717" s="3"/>
      <c r="G1717" s="3"/>
    </row>
    <row r="1718" spans="6:7" x14ac:dyDescent="0.25">
      <c r="F1718" s="3"/>
      <c r="G1718" s="3"/>
    </row>
    <row r="1719" spans="6:7" x14ac:dyDescent="0.25">
      <c r="F1719" s="3"/>
      <c r="G1719" s="3"/>
    </row>
    <row r="1720" spans="6:7" x14ac:dyDescent="0.25">
      <c r="F1720" s="3"/>
      <c r="G1720" s="3"/>
    </row>
    <row r="1721" spans="6:7" x14ac:dyDescent="0.25">
      <c r="F1721" s="3"/>
      <c r="G1721" s="3"/>
    </row>
    <row r="1722" spans="6:7" x14ac:dyDescent="0.25">
      <c r="F1722" s="3"/>
      <c r="G1722" s="3"/>
    </row>
    <row r="1723" spans="6:7" x14ac:dyDescent="0.25">
      <c r="F1723" s="3"/>
      <c r="G1723" s="3"/>
    </row>
    <row r="1724" spans="6:7" x14ac:dyDescent="0.25">
      <c r="F1724" s="3"/>
      <c r="G1724" s="3"/>
    </row>
    <row r="1725" spans="6:7" x14ac:dyDescent="0.25">
      <c r="F1725" s="3"/>
      <c r="G1725" s="3"/>
    </row>
    <row r="1726" spans="6:7" x14ac:dyDescent="0.25">
      <c r="F1726" s="3"/>
      <c r="G1726" s="3"/>
    </row>
    <row r="1727" spans="6:7" x14ac:dyDescent="0.25">
      <c r="F1727" s="3"/>
      <c r="G1727" s="3"/>
    </row>
    <row r="1728" spans="6:7" x14ac:dyDescent="0.25">
      <c r="F1728" s="3"/>
      <c r="G1728" s="3"/>
    </row>
    <row r="1729" spans="6:7" x14ac:dyDescent="0.25">
      <c r="F1729" s="3"/>
      <c r="G1729" s="3"/>
    </row>
    <row r="1730" spans="6:7" x14ac:dyDescent="0.25">
      <c r="F1730" s="3"/>
      <c r="G1730" s="3"/>
    </row>
    <row r="1731" spans="6:7" x14ac:dyDescent="0.25">
      <c r="F1731" s="3"/>
      <c r="G1731" s="3"/>
    </row>
    <row r="1732" spans="6:7" x14ac:dyDescent="0.25">
      <c r="F1732" s="3"/>
      <c r="G1732" s="3"/>
    </row>
    <row r="1733" spans="6:7" x14ac:dyDescent="0.25">
      <c r="F1733" s="3"/>
      <c r="G1733" s="3"/>
    </row>
    <row r="1734" spans="6:7" x14ac:dyDescent="0.25">
      <c r="F1734" s="3"/>
      <c r="G1734" s="3"/>
    </row>
    <row r="1735" spans="6:7" x14ac:dyDescent="0.25">
      <c r="F1735" s="3"/>
      <c r="G1735" s="3"/>
    </row>
    <row r="1736" spans="6:7" x14ac:dyDescent="0.25">
      <c r="F1736" s="3"/>
      <c r="G1736" s="3"/>
    </row>
    <row r="1737" spans="6:7" x14ac:dyDescent="0.25">
      <c r="F1737" s="3"/>
      <c r="G1737" s="3"/>
    </row>
    <row r="1738" spans="6:7" x14ac:dyDescent="0.25">
      <c r="F1738" s="3"/>
      <c r="G1738" s="3"/>
    </row>
    <row r="1739" spans="6:7" x14ac:dyDescent="0.25">
      <c r="F1739" s="3"/>
      <c r="G1739" s="3"/>
    </row>
    <row r="1740" spans="6:7" x14ac:dyDescent="0.25">
      <c r="F1740" s="3"/>
      <c r="G1740" s="3"/>
    </row>
    <row r="1741" spans="6:7" x14ac:dyDescent="0.25">
      <c r="F1741" s="3"/>
      <c r="G1741" s="3"/>
    </row>
    <row r="1742" spans="6:7" x14ac:dyDescent="0.25">
      <c r="F1742" s="3"/>
      <c r="G1742" s="3"/>
    </row>
    <row r="1743" spans="6:7" x14ac:dyDescent="0.25">
      <c r="F1743" s="3"/>
      <c r="G1743" s="3"/>
    </row>
    <row r="1744" spans="6:7" x14ac:dyDescent="0.25">
      <c r="F1744" s="3"/>
      <c r="G1744" s="3"/>
    </row>
    <row r="1745" spans="6:7" x14ac:dyDescent="0.25">
      <c r="F1745" s="3"/>
      <c r="G1745" s="3"/>
    </row>
    <row r="1746" spans="6:7" x14ac:dyDescent="0.25">
      <c r="F1746" s="3"/>
      <c r="G1746" s="3"/>
    </row>
    <row r="1747" spans="6:7" x14ac:dyDescent="0.25">
      <c r="F1747" s="3"/>
      <c r="G1747" s="3"/>
    </row>
    <row r="1748" spans="6:7" x14ac:dyDescent="0.25">
      <c r="F1748" s="3"/>
      <c r="G1748" s="3"/>
    </row>
    <row r="1749" spans="6:7" x14ac:dyDescent="0.25">
      <c r="F1749" s="3"/>
      <c r="G1749" s="3"/>
    </row>
    <row r="1750" spans="6:7" x14ac:dyDescent="0.25">
      <c r="F1750" s="3"/>
      <c r="G1750" s="3"/>
    </row>
    <row r="1751" spans="6:7" x14ac:dyDescent="0.25">
      <c r="F1751" s="3"/>
      <c r="G1751" s="3"/>
    </row>
    <row r="1752" spans="6:7" x14ac:dyDescent="0.25">
      <c r="F1752" s="3"/>
      <c r="G1752" s="3"/>
    </row>
    <row r="1753" spans="6:7" x14ac:dyDescent="0.25">
      <c r="F1753" s="3"/>
      <c r="G1753" s="3"/>
    </row>
    <row r="1754" spans="6:7" x14ac:dyDescent="0.25">
      <c r="F1754" s="3"/>
      <c r="G1754" s="3"/>
    </row>
    <row r="1755" spans="6:7" x14ac:dyDescent="0.25">
      <c r="F1755" s="3"/>
      <c r="G1755" s="3"/>
    </row>
    <row r="1756" spans="6:7" x14ac:dyDescent="0.25">
      <c r="F1756" s="3"/>
      <c r="G1756" s="3"/>
    </row>
    <row r="1757" spans="6:7" x14ac:dyDescent="0.25">
      <c r="F1757" s="3"/>
      <c r="G1757" s="3"/>
    </row>
    <row r="1758" spans="6:7" x14ac:dyDescent="0.25">
      <c r="F1758" s="3"/>
      <c r="G1758" s="3"/>
    </row>
    <row r="1759" spans="6:7" x14ac:dyDescent="0.25">
      <c r="F1759" s="3"/>
      <c r="G1759" s="3"/>
    </row>
    <row r="1760" spans="6:7" x14ac:dyDescent="0.25">
      <c r="F1760" s="3"/>
      <c r="G1760" s="3"/>
    </row>
    <row r="1761" spans="6:7" x14ac:dyDescent="0.25">
      <c r="F1761" s="3"/>
      <c r="G1761" s="3"/>
    </row>
    <row r="1762" spans="6:7" x14ac:dyDescent="0.25">
      <c r="F1762" s="3"/>
      <c r="G1762" s="3"/>
    </row>
    <row r="1763" spans="6:7" x14ac:dyDescent="0.25">
      <c r="F1763" s="3"/>
      <c r="G1763" s="3"/>
    </row>
    <row r="1764" spans="6:7" x14ac:dyDescent="0.25">
      <c r="F1764" s="3"/>
      <c r="G1764" s="3"/>
    </row>
    <row r="1765" spans="6:7" x14ac:dyDescent="0.25">
      <c r="F1765" s="3"/>
      <c r="G1765" s="3"/>
    </row>
    <row r="1766" spans="6:7" x14ac:dyDescent="0.25">
      <c r="F1766" s="3"/>
      <c r="G1766" s="3"/>
    </row>
    <row r="1767" spans="6:7" x14ac:dyDescent="0.25">
      <c r="F1767" s="3"/>
      <c r="G1767" s="3"/>
    </row>
    <row r="1768" spans="6:7" x14ac:dyDescent="0.25">
      <c r="F1768" s="3"/>
      <c r="G1768" s="3"/>
    </row>
    <row r="1769" spans="6:7" x14ac:dyDescent="0.25">
      <c r="F1769" s="3"/>
      <c r="G1769" s="3"/>
    </row>
    <row r="1770" spans="6:7" x14ac:dyDescent="0.25">
      <c r="F1770" s="3"/>
      <c r="G1770" s="3"/>
    </row>
    <row r="1771" spans="6:7" x14ac:dyDescent="0.25">
      <c r="F1771" s="3"/>
      <c r="G1771" s="3"/>
    </row>
    <row r="1772" spans="6:7" x14ac:dyDescent="0.25">
      <c r="F1772" s="3"/>
      <c r="G1772" s="3"/>
    </row>
    <row r="1773" spans="6:7" x14ac:dyDescent="0.25">
      <c r="F1773" s="3"/>
      <c r="G1773" s="3"/>
    </row>
    <row r="1774" spans="6:7" x14ac:dyDescent="0.25">
      <c r="F1774" s="3"/>
      <c r="G1774" s="3"/>
    </row>
    <row r="1775" spans="6:7" x14ac:dyDescent="0.25">
      <c r="F1775" s="3"/>
      <c r="G1775" s="3"/>
    </row>
    <row r="1776" spans="6:7" x14ac:dyDescent="0.25">
      <c r="F1776" s="3"/>
      <c r="G1776" s="3"/>
    </row>
    <row r="1777" spans="6:7" x14ac:dyDescent="0.25">
      <c r="F1777" s="3"/>
      <c r="G1777" s="3"/>
    </row>
    <row r="1778" spans="6:7" x14ac:dyDescent="0.25">
      <c r="F1778" s="3"/>
      <c r="G1778" s="3"/>
    </row>
    <row r="1779" spans="6:7" x14ac:dyDescent="0.25">
      <c r="F1779" s="3"/>
      <c r="G1779" s="3"/>
    </row>
    <row r="1780" spans="6:7" x14ac:dyDescent="0.25">
      <c r="F1780" s="3"/>
      <c r="G1780" s="3"/>
    </row>
    <row r="1781" spans="6:7" x14ac:dyDescent="0.25">
      <c r="F1781" s="3"/>
      <c r="G1781" s="3"/>
    </row>
    <row r="1782" spans="6:7" x14ac:dyDescent="0.25">
      <c r="F1782" s="3"/>
      <c r="G1782" s="3"/>
    </row>
    <row r="1783" spans="6:7" x14ac:dyDescent="0.25">
      <c r="F1783" s="3"/>
      <c r="G1783" s="3"/>
    </row>
    <row r="1784" spans="6:7" x14ac:dyDescent="0.25">
      <c r="F1784" s="3"/>
      <c r="G1784" s="3"/>
    </row>
    <row r="1785" spans="6:7" x14ac:dyDescent="0.25">
      <c r="F1785" s="3"/>
      <c r="G1785" s="3"/>
    </row>
    <row r="1786" spans="6:7" x14ac:dyDescent="0.25">
      <c r="F1786" s="3"/>
      <c r="G1786" s="3"/>
    </row>
    <row r="1787" spans="6:7" x14ac:dyDescent="0.25">
      <c r="F1787" s="3"/>
      <c r="G1787" s="3"/>
    </row>
    <row r="1788" spans="6:7" x14ac:dyDescent="0.25">
      <c r="F1788" s="3"/>
      <c r="G1788" s="3"/>
    </row>
    <row r="1789" spans="6:7" x14ac:dyDescent="0.25">
      <c r="F1789" s="3"/>
      <c r="G1789" s="3"/>
    </row>
    <row r="1790" spans="6:7" x14ac:dyDescent="0.25">
      <c r="F1790" s="3"/>
      <c r="G1790" s="3"/>
    </row>
    <row r="1791" spans="6:7" x14ac:dyDescent="0.25">
      <c r="F1791" s="3"/>
      <c r="G1791" s="3"/>
    </row>
    <row r="1792" spans="6:7" x14ac:dyDescent="0.25">
      <c r="F1792" s="3"/>
      <c r="G1792" s="3"/>
    </row>
    <row r="1793" spans="6:7" x14ac:dyDescent="0.25">
      <c r="F1793" s="3"/>
      <c r="G1793" s="3"/>
    </row>
    <row r="1794" spans="6:7" x14ac:dyDescent="0.25">
      <c r="F1794" s="3"/>
      <c r="G1794" s="3"/>
    </row>
    <row r="1795" spans="6:7" x14ac:dyDescent="0.25">
      <c r="F1795" s="3"/>
      <c r="G1795" s="3"/>
    </row>
    <row r="1796" spans="6:7" x14ac:dyDescent="0.25">
      <c r="F1796" s="3"/>
      <c r="G1796" s="3"/>
    </row>
    <row r="1797" spans="6:7" x14ac:dyDescent="0.25">
      <c r="F1797" s="3"/>
      <c r="G1797" s="3"/>
    </row>
    <row r="1798" spans="6:7" x14ac:dyDescent="0.25">
      <c r="F1798" s="3"/>
      <c r="G1798" s="3"/>
    </row>
    <row r="1799" spans="6:7" x14ac:dyDescent="0.25">
      <c r="F1799" s="3"/>
      <c r="G1799" s="3"/>
    </row>
    <row r="1800" spans="6:7" x14ac:dyDescent="0.25">
      <c r="F1800" s="3"/>
      <c r="G1800" s="3"/>
    </row>
    <row r="1801" spans="6:7" x14ac:dyDescent="0.25">
      <c r="F1801" s="3"/>
      <c r="G1801" s="3"/>
    </row>
    <row r="1802" spans="6:7" x14ac:dyDescent="0.25">
      <c r="F1802" s="3"/>
      <c r="G1802" s="3"/>
    </row>
    <row r="1803" spans="6:7" x14ac:dyDescent="0.25">
      <c r="F1803" s="3"/>
      <c r="G1803" s="3"/>
    </row>
    <row r="1804" spans="6:7" x14ac:dyDescent="0.25">
      <c r="F1804" s="3"/>
      <c r="G1804" s="3"/>
    </row>
    <row r="1805" spans="6:7" x14ac:dyDescent="0.25">
      <c r="F1805" s="3"/>
      <c r="G1805" s="3"/>
    </row>
    <row r="1806" spans="6:7" x14ac:dyDescent="0.25">
      <c r="F1806" s="3"/>
      <c r="G1806" s="3"/>
    </row>
    <row r="1807" spans="6:7" x14ac:dyDescent="0.25">
      <c r="F1807" s="3"/>
      <c r="G1807" s="3"/>
    </row>
    <row r="1808" spans="6:7" x14ac:dyDescent="0.25">
      <c r="F1808" s="3"/>
      <c r="G1808" s="3"/>
    </row>
    <row r="1809" spans="6:7" x14ac:dyDescent="0.25">
      <c r="F1809" s="3"/>
      <c r="G1809" s="3"/>
    </row>
    <row r="1810" spans="6:7" x14ac:dyDescent="0.25">
      <c r="F1810" s="3"/>
      <c r="G1810" s="3"/>
    </row>
    <row r="1811" spans="6:7" x14ac:dyDescent="0.25">
      <c r="F1811" s="3"/>
      <c r="G1811" s="3"/>
    </row>
    <row r="1812" spans="6:7" x14ac:dyDescent="0.25">
      <c r="F1812" s="3"/>
      <c r="G1812" s="3"/>
    </row>
    <row r="1813" spans="6:7" x14ac:dyDescent="0.25">
      <c r="F1813" s="3"/>
      <c r="G1813" s="3"/>
    </row>
    <row r="1814" spans="6:7" x14ac:dyDescent="0.25">
      <c r="F1814" s="3"/>
      <c r="G1814" s="3"/>
    </row>
    <row r="1815" spans="6:7" x14ac:dyDescent="0.25">
      <c r="F1815" s="3"/>
      <c r="G1815" s="3"/>
    </row>
    <row r="1816" spans="6:7" x14ac:dyDescent="0.25">
      <c r="F1816" s="3"/>
      <c r="G1816" s="3"/>
    </row>
    <row r="1817" spans="6:7" x14ac:dyDescent="0.25">
      <c r="F1817" s="3"/>
      <c r="G1817" s="3"/>
    </row>
    <row r="1818" spans="6:7" x14ac:dyDescent="0.25">
      <c r="F1818" s="3"/>
      <c r="G1818" s="3"/>
    </row>
    <row r="1819" spans="6:7" x14ac:dyDescent="0.25">
      <c r="F1819" s="3"/>
      <c r="G1819" s="3"/>
    </row>
    <row r="1820" spans="6:7" x14ac:dyDescent="0.25">
      <c r="F1820" s="3"/>
      <c r="G1820" s="3"/>
    </row>
    <row r="1821" spans="6:7" x14ac:dyDescent="0.25">
      <c r="F1821" s="3"/>
      <c r="G1821" s="3"/>
    </row>
    <row r="1822" spans="6:7" x14ac:dyDescent="0.25">
      <c r="F1822" s="3"/>
      <c r="G1822" s="3"/>
    </row>
    <row r="1823" spans="6:7" x14ac:dyDescent="0.25">
      <c r="F1823" s="3"/>
      <c r="G1823" s="3"/>
    </row>
    <row r="1824" spans="6:7" x14ac:dyDescent="0.25">
      <c r="F1824" s="3"/>
      <c r="G1824" s="3"/>
    </row>
    <row r="1825" spans="6:7" x14ac:dyDescent="0.25">
      <c r="F1825" s="3"/>
      <c r="G1825" s="3"/>
    </row>
    <row r="1826" spans="6:7" x14ac:dyDescent="0.25">
      <c r="F1826" s="3"/>
      <c r="G1826" s="3"/>
    </row>
    <row r="1827" spans="6:7" x14ac:dyDescent="0.25">
      <c r="F1827" s="3"/>
      <c r="G1827" s="3"/>
    </row>
    <row r="1828" spans="6:7" x14ac:dyDescent="0.25">
      <c r="F1828" s="3"/>
      <c r="G1828" s="3"/>
    </row>
    <row r="1829" spans="6:7" x14ac:dyDescent="0.25">
      <c r="F1829" s="3"/>
      <c r="G1829" s="3"/>
    </row>
    <row r="1830" spans="6:7" x14ac:dyDescent="0.25">
      <c r="F1830" s="3"/>
      <c r="G1830" s="3"/>
    </row>
    <row r="1831" spans="6:7" x14ac:dyDescent="0.25">
      <c r="F1831" s="3"/>
      <c r="G1831" s="3"/>
    </row>
    <row r="1832" spans="6:7" x14ac:dyDescent="0.25">
      <c r="F1832" s="3"/>
      <c r="G1832" s="3"/>
    </row>
    <row r="1833" spans="6:7" x14ac:dyDescent="0.25">
      <c r="F1833" s="3"/>
      <c r="G1833" s="3"/>
    </row>
    <row r="1834" spans="6:7" x14ac:dyDescent="0.25">
      <c r="F1834" s="3"/>
      <c r="G1834" s="3"/>
    </row>
    <row r="1835" spans="6:7" x14ac:dyDescent="0.25">
      <c r="F1835" s="3"/>
      <c r="G1835" s="3"/>
    </row>
    <row r="1836" spans="6:7" x14ac:dyDescent="0.25">
      <c r="F1836" s="3"/>
      <c r="G1836" s="3"/>
    </row>
    <row r="1837" spans="6:7" x14ac:dyDescent="0.25">
      <c r="F1837" s="3"/>
      <c r="G1837" s="3"/>
    </row>
    <row r="1838" spans="6:7" x14ac:dyDescent="0.25">
      <c r="F1838" s="3"/>
      <c r="G1838" s="3"/>
    </row>
    <row r="1839" spans="6:7" x14ac:dyDescent="0.25">
      <c r="F1839" s="3"/>
      <c r="G1839" s="3"/>
    </row>
    <row r="1840" spans="6:7" x14ac:dyDescent="0.25">
      <c r="F1840" s="3"/>
      <c r="G1840" s="3"/>
    </row>
    <row r="1841" spans="6:7" x14ac:dyDescent="0.25">
      <c r="F1841" s="3"/>
      <c r="G1841" s="3"/>
    </row>
    <row r="1842" spans="6:7" x14ac:dyDescent="0.25">
      <c r="F1842" s="3"/>
      <c r="G1842" s="3"/>
    </row>
    <row r="1843" spans="6:7" x14ac:dyDescent="0.25">
      <c r="F1843" s="3"/>
      <c r="G1843" s="3"/>
    </row>
    <row r="1844" spans="6:7" x14ac:dyDescent="0.25">
      <c r="F1844" s="3"/>
      <c r="G1844" s="3"/>
    </row>
    <row r="1845" spans="6:7" x14ac:dyDescent="0.25">
      <c r="F1845" s="3"/>
      <c r="G1845" s="3"/>
    </row>
    <row r="1846" spans="6:7" x14ac:dyDescent="0.25">
      <c r="F1846" s="3"/>
      <c r="G1846" s="3"/>
    </row>
    <row r="1847" spans="6:7" x14ac:dyDescent="0.25">
      <c r="F1847" s="3"/>
      <c r="G1847" s="3"/>
    </row>
    <row r="1848" spans="6:7" x14ac:dyDescent="0.25">
      <c r="F1848" s="3"/>
      <c r="G1848" s="3"/>
    </row>
    <row r="1849" spans="6:7" x14ac:dyDescent="0.25">
      <c r="F1849" s="3"/>
      <c r="G1849" s="3"/>
    </row>
    <row r="1850" spans="6:7" x14ac:dyDescent="0.25">
      <c r="F1850" s="3"/>
      <c r="G1850" s="3"/>
    </row>
    <row r="1851" spans="6:7" x14ac:dyDescent="0.25">
      <c r="F1851" s="3"/>
      <c r="G1851" s="3"/>
    </row>
    <row r="1852" spans="6:7" x14ac:dyDescent="0.25">
      <c r="F1852" s="3"/>
      <c r="G1852" s="3"/>
    </row>
    <row r="1853" spans="6:7" x14ac:dyDescent="0.25">
      <c r="F1853" s="3"/>
      <c r="G1853" s="3"/>
    </row>
    <row r="1854" spans="6:7" x14ac:dyDescent="0.25">
      <c r="F1854" s="3"/>
      <c r="G1854" s="3"/>
    </row>
    <row r="1855" spans="6:7" x14ac:dyDescent="0.25">
      <c r="F1855" s="3"/>
      <c r="G1855" s="3"/>
    </row>
    <row r="1856" spans="6:7" x14ac:dyDescent="0.25">
      <c r="F1856" s="3"/>
      <c r="G1856" s="3"/>
    </row>
    <row r="1857" spans="6:7" x14ac:dyDescent="0.25">
      <c r="F1857" s="3"/>
      <c r="G1857" s="3"/>
    </row>
    <row r="1858" spans="6:7" x14ac:dyDescent="0.25">
      <c r="F1858" s="3"/>
      <c r="G1858" s="3"/>
    </row>
    <row r="1859" spans="6:7" x14ac:dyDescent="0.25">
      <c r="F1859" s="3"/>
      <c r="G1859" s="3"/>
    </row>
    <row r="1860" spans="6:7" x14ac:dyDescent="0.25">
      <c r="F1860" s="3"/>
      <c r="G1860" s="3"/>
    </row>
    <row r="1861" spans="6:7" x14ac:dyDescent="0.25">
      <c r="F1861" s="3"/>
      <c r="G1861" s="3"/>
    </row>
    <row r="1862" spans="6:7" x14ac:dyDescent="0.25">
      <c r="F1862" s="3"/>
      <c r="G1862" s="3"/>
    </row>
    <row r="1863" spans="6:7" x14ac:dyDescent="0.25">
      <c r="F1863" s="3"/>
      <c r="G1863" s="3"/>
    </row>
    <row r="1864" spans="6:7" x14ac:dyDescent="0.25">
      <c r="F1864" s="3"/>
      <c r="G1864" s="3"/>
    </row>
    <row r="1865" spans="6:7" x14ac:dyDescent="0.25">
      <c r="F1865" s="3"/>
      <c r="G1865" s="3"/>
    </row>
    <row r="1866" spans="6:7" x14ac:dyDescent="0.25">
      <c r="F1866" s="3"/>
      <c r="G1866" s="3"/>
    </row>
    <row r="1867" spans="6:7" x14ac:dyDescent="0.25">
      <c r="F1867" s="3"/>
      <c r="G1867" s="3"/>
    </row>
    <row r="1868" spans="6:7" x14ac:dyDescent="0.25">
      <c r="F1868" s="3"/>
      <c r="G1868" s="3"/>
    </row>
    <row r="1869" spans="6:7" x14ac:dyDescent="0.25">
      <c r="F1869" s="3"/>
      <c r="G1869" s="3"/>
    </row>
    <row r="1870" spans="6:7" x14ac:dyDescent="0.25">
      <c r="F1870" s="3"/>
      <c r="G1870" s="3"/>
    </row>
    <row r="1871" spans="6:7" x14ac:dyDescent="0.25">
      <c r="F1871" s="3"/>
      <c r="G1871" s="3"/>
    </row>
    <row r="1872" spans="6:7" x14ac:dyDescent="0.25">
      <c r="F1872" s="3"/>
      <c r="G1872" s="3"/>
    </row>
    <row r="1873" spans="6:7" x14ac:dyDescent="0.25">
      <c r="F1873" s="3"/>
      <c r="G1873" s="3"/>
    </row>
    <row r="1874" spans="6:7" x14ac:dyDescent="0.25">
      <c r="F1874" s="3"/>
      <c r="G1874" s="3"/>
    </row>
    <row r="1875" spans="6:7" x14ac:dyDescent="0.25">
      <c r="F1875" s="3"/>
      <c r="G1875" s="3"/>
    </row>
    <row r="1876" spans="6:7" x14ac:dyDescent="0.25">
      <c r="F1876" s="3"/>
      <c r="G1876" s="3"/>
    </row>
    <row r="1877" spans="6:7" x14ac:dyDescent="0.25">
      <c r="F1877" s="3"/>
      <c r="G1877" s="3"/>
    </row>
    <row r="1878" spans="6:7" x14ac:dyDescent="0.25">
      <c r="F1878" s="3"/>
      <c r="G1878" s="3"/>
    </row>
    <row r="1879" spans="6:7" x14ac:dyDescent="0.25">
      <c r="F1879" s="3"/>
      <c r="G1879" s="3"/>
    </row>
    <row r="1880" spans="6:7" x14ac:dyDescent="0.25">
      <c r="F1880" s="3"/>
      <c r="G1880" s="3"/>
    </row>
    <row r="1881" spans="6:7" x14ac:dyDescent="0.25">
      <c r="F1881" s="3"/>
      <c r="G1881" s="3"/>
    </row>
    <row r="1882" spans="6:7" x14ac:dyDescent="0.25">
      <c r="F1882" s="3"/>
      <c r="G1882" s="3"/>
    </row>
    <row r="1883" spans="6:7" x14ac:dyDescent="0.25">
      <c r="F1883" s="3"/>
      <c r="G1883" s="3"/>
    </row>
    <row r="1884" spans="6:7" x14ac:dyDescent="0.25">
      <c r="F1884" s="3"/>
      <c r="G1884" s="3"/>
    </row>
    <row r="1885" spans="6:7" x14ac:dyDescent="0.25">
      <c r="F1885" s="3"/>
      <c r="G1885" s="3"/>
    </row>
    <row r="1886" spans="6:7" x14ac:dyDescent="0.25">
      <c r="F1886" s="3"/>
      <c r="G1886" s="3"/>
    </row>
    <row r="1887" spans="6:7" x14ac:dyDescent="0.25">
      <c r="F1887" s="3"/>
      <c r="G1887" s="3"/>
    </row>
    <row r="1888" spans="6:7" x14ac:dyDescent="0.25">
      <c r="F1888" s="3"/>
      <c r="G1888" s="3"/>
    </row>
    <row r="1889" spans="6:7" x14ac:dyDescent="0.25">
      <c r="F1889" s="3"/>
      <c r="G1889" s="3"/>
    </row>
    <row r="1890" spans="6:7" x14ac:dyDescent="0.25">
      <c r="F1890" s="3"/>
      <c r="G1890" s="3"/>
    </row>
    <row r="1891" spans="6:7" x14ac:dyDescent="0.25">
      <c r="F1891" s="3"/>
      <c r="G1891" s="3"/>
    </row>
    <row r="1892" spans="6:7" x14ac:dyDescent="0.25">
      <c r="F1892" s="3"/>
      <c r="G1892" s="3"/>
    </row>
    <row r="1893" spans="6:7" x14ac:dyDescent="0.25">
      <c r="F1893" s="3"/>
      <c r="G1893" s="3"/>
    </row>
    <row r="1894" spans="6:7" x14ac:dyDescent="0.25">
      <c r="F1894" s="3"/>
      <c r="G1894" s="3"/>
    </row>
    <row r="1895" spans="6:7" x14ac:dyDescent="0.25">
      <c r="F1895" s="3"/>
      <c r="G1895" s="3"/>
    </row>
    <row r="1896" spans="6:7" x14ac:dyDescent="0.25">
      <c r="F1896" s="3"/>
      <c r="G1896" s="3"/>
    </row>
    <row r="1897" spans="6:7" x14ac:dyDescent="0.25">
      <c r="F1897" s="3"/>
      <c r="G1897" s="3"/>
    </row>
    <row r="1898" spans="6:7" x14ac:dyDescent="0.25">
      <c r="F1898" s="3"/>
      <c r="G1898" s="3"/>
    </row>
    <row r="1899" spans="6:7" x14ac:dyDescent="0.25">
      <c r="F1899" s="3"/>
      <c r="G1899" s="3"/>
    </row>
    <row r="1900" spans="6:7" x14ac:dyDescent="0.25">
      <c r="F1900" s="3"/>
      <c r="G1900" s="3"/>
    </row>
    <row r="1901" spans="6:7" x14ac:dyDescent="0.25">
      <c r="F1901" s="3"/>
      <c r="G1901" s="3"/>
    </row>
    <row r="1902" spans="6:7" x14ac:dyDescent="0.25">
      <c r="F1902" s="3"/>
      <c r="G1902" s="3"/>
    </row>
    <row r="1903" spans="6:7" x14ac:dyDescent="0.25">
      <c r="F1903" s="3"/>
      <c r="G1903" s="3"/>
    </row>
    <row r="1904" spans="6:7" x14ac:dyDescent="0.25">
      <c r="F1904" s="3"/>
      <c r="G1904" s="3"/>
    </row>
    <row r="1905" spans="6:7" x14ac:dyDescent="0.25">
      <c r="F1905" s="3"/>
      <c r="G1905" s="3"/>
    </row>
    <row r="1906" spans="6:7" x14ac:dyDescent="0.25">
      <c r="F1906" s="3"/>
      <c r="G1906" s="3"/>
    </row>
    <row r="1907" spans="6:7" x14ac:dyDescent="0.25">
      <c r="F1907" s="3"/>
      <c r="G1907" s="3"/>
    </row>
    <row r="1908" spans="6:7" x14ac:dyDescent="0.25">
      <c r="F1908" s="3"/>
      <c r="G1908" s="3"/>
    </row>
    <row r="1909" spans="6:7" x14ac:dyDescent="0.25">
      <c r="F1909" s="3"/>
      <c r="G1909" s="3"/>
    </row>
    <row r="1910" spans="6:7" x14ac:dyDescent="0.25">
      <c r="F1910" s="3"/>
      <c r="G1910" s="3"/>
    </row>
    <row r="1911" spans="6:7" x14ac:dyDescent="0.25">
      <c r="F1911" s="3"/>
      <c r="G1911" s="3"/>
    </row>
    <row r="1912" spans="6:7" x14ac:dyDescent="0.25">
      <c r="F1912" s="3"/>
      <c r="G1912" s="3"/>
    </row>
    <row r="1913" spans="6:7" x14ac:dyDescent="0.25">
      <c r="F1913" s="3"/>
      <c r="G1913" s="3"/>
    </row>
    <row r="1914" spans="6:7" x14ac:dyDescent="0.25">
      <c r="F1914" s="3"/>
      <c r="G1914" s="3"/>
    </row>
    <row r="1915" spans="6:7" x14ac:dyDescent="0.25">
      <c r="F1915" s="3"/>
      <c r="G1915" s="3"/>
    </row>
    <row r="1916" spans="6:7" x14ac:dyDescent="0.25">
      <c r="F1916" s="3"/>
      <c r="G1916" s="3"/>
    </row>
    <row r="1917" spans="6:7" x14ac:dyDescent="0.25">
      <c r="F1917" s="3"/>
      <c r="G1917" s="3"/>
    </row>
    <row r="1918" spans="6:7" x14ac:dyDescent="0.25">
      <c r="F1918" s="3"/>
      <c r="G1918" s="3"/>
    </row>
    <row r="1919" spans="6:7" x14ac:dyDescent="0.25">
      <c r="F1919" s="3"/>
      <c r="G1919" s="3"/>
    </row>
    <row r="1920" spans="6:7" x14ac:dyDescent="0.25">
      <c r="F1920" s="3"/>
      <c r="G1920" s="3"/>
    </row>
    <row r="1921" spans="6:7" x14ac:dyDescent="0.25">
      <c r="F1921" s="3"/>
      <c r="G1921" s="3"/>
    </row>
    <row r="1922" spans="6:7" x14ac:dyDescent="0.25">
      <c r="F1922" s="3"/>
      <c r="G1922" s="3"/>
    </row>
    <row r="1923" spans="6:7" x14ac:dyDescent="0.25">
      <c r="F1923" s="3"/>
      <c r="G1923" s="3"/>
    </row>
    <row r="1924" spans="6:7" x14ac:dyDescent="0.25">
      <c r="F1924" s="3"/>
      <c r="G1924" s="3"/>
    </row>
    <row r="1925" spans="6:7" x14ac:dyDescent="0.25">
      <c r="F1925" s="3"/>
      <c r="G1925" s="3"/>
    </row>
    <row r="1926" spans="6:7" x14ac:dyDescent="0.25">
      <c r="F1926" s="3"/>
      <c r="G1926" s="3"/>
    </row>
    <row r="1927" spans="6:7" x14ac:dyDescent="0.25">
      <c r="F1927" s="3"/>
      <c r="G1927" s="3"/>
    </row>
    <row r="1928" spans="6:7" x14ac:dyDescent="0.25">
      <c r="F1928" s="3"/>
      <c r="G1928" s="3"/>
    </row>
    <row r="1929" spans="6:7" x14ac:dyDescent="0.25">
      <c r="F1929" s="3"/>
      <c r="G1929" s="3"/>
    </row>
    <row r="1930" spans="6:7" x14ac:dyDescent="0.25">
      <c r="F1930" s="3"/>
      <c r="G1930" s="3"/>
    </row>
    <row r="1931" spans="6:7" x14ac:dyDescent="0.25">
      <c r="F1931" s="3"/>
      <c r="G1931" s="3"/>
    </row>
    <row r="1932" spans="6:7" x14ac:dyDescent="0.25">
      <c r="F1932" s="3"/>
      <c r="G1932" s="3"/>
    </row>
    <row r="1933" spans="6:7" x14ac:dyDescent="0.25">
      <c r="F1933" s="3"/>
      <c r="G1933" s="3"/>
    </row>
    <row r="1934" spans="6:7" x14ac:dyDescent="0.25">
      <c r="F1934" s="3"/>
      <c r="G1934" s="3"/>
    </row>
    <row r="1935" spans="6:7" x14ac:dyDescent="0.25">
      <c r="F1935" s="3"/>
      <c r="G1935" s="3"/>
    </row>
    <row r="1936" spans="6:7" x14ac:dyDescent="0.25">
      <c r="F1936" s="3"/>
      <c r="G1936" s="3"/>
    </row>
    <row r="1937" spans="6:7" x14ac:dyDescent="0.25">
      <c r="F1937" s="3"/>
      <c r="G1937" s="3"/>
    </row>
    <row r="1938" spans="6:7" x14ac:dyDescent="0.25">
      <c r="F1938" s="3"/>
      <c r="G1938" s="3"/>
    </row>
    <row r="1939" spans="6:7" x14ac:dyDescent="0.25">
      <c r="F1939" s="3"/>
      <c r="G1939" s="3"/>
    </row>
    <row r="1940" spans="6:7" x14ac:dyDescent="0.25">
      <c r="F1940" s="3"/>
      <c r="G1940" s="3"/>
    </row>
    <row r="1941" spans="6:7" x14ac:dyDescent="0.25">
      <c r="F1941" s="3"/>
      <c r="G1941" s="3"/>
    </row>
    <row r="1942" spans="6:7" x14ac:dyDescent="0.25">
      <c r="F1942" s="3"/>
      <c r="G1942" s="3"/>
    </row>
    <row r="1943" spans="6:7" x14ac:dyDescent="0.25">
      <c r="F1943" s="3"/>
      <c r="G1943" s="3"/>
    </row>
    <row r="1944" spans="6:7" x14ac:dyDescent="0.25">
      <c r="F1944" s="3"/>
      <c r="G1944" s="3"/>
    </row>
    <row r="1945" spans="6:7" x14ac:dyDescent="0.25">
      <c r="F1945" s="3"/>
      <c r="G1945" s="3"/>
    </row>
    <row r="1946" spans="6:7" x14ac:dyDescent="0.25">
      <c r="F1946" s="3"/>
      <c r="G1946" s="3"/>
    </row>
    <row r="1947" spans="6:7" x14ac:dyDescent="0.25">
      <c r="F1947" s="3"/>
      <c r="G1947" s="3"/>
    </row>
    <row r="1948" spans="6:7" x14ac:dyDescent="0.25">
      <c r="F1948" s="3"/>
      <c r="G1948" s="3"/>
    </row>
    <row r="1949" spans="6:7" x14ac:dyDescent="0.25">
      <c r="F1949" s="3"/>
      <c r="G1949" s="3"/>
    </row>
    <row r="1950" spans="6:7" x14ac:dyDescent="0.25">
      <c r="F1950" s="3"/>
      <c r="G1950" s="3"/>
    </row>
    <row r="1951" spans="6:7" x14ac:dyDescent="0.25">
      <c r="F1951" s="3"/>
      <c r="G1951" s="3"/>
    </row>
    <row r="1952" spans="6:7" x14ac:dyDescent="0.25">
      <c r="F1952" s="3"/>
      <c r="G1952" s="3"/>
    </row>
    <row r="1953" spans="6:7" x14ac:dyDescent="0.25">
      <c r="F1953" s="3"/>
      <c r="G1953" s="3"/>
    </row>
    <row r="1954" spans="6:7" x14ac:dyDescent="0.25">
      <c r="F1954" s="3"/>
      <c r="G1954" s="3"/>
    </row>
    <row r="1955" spans="6:7" x14ac:dyDescent="0.25">
      <c r="F1955" s="3"/>
      <c r="G1955" s="3"/>
    </row>
    <row r="1956" spans="6:7" x14ac:dyDescent="0.25">
      <c r="F1956" s="3"/>
      <c r="G1956" s="3"/>
    </row>
    <row r="1957" spans="6:7" x14ac:dyDescent="0.25">
      <c r="F1957" s="3"/>
      <c r="G1957" s="3"/>
    </row>
    <row r="1958" spans="6:7" x14ac:dyDescent="0.25">
      <c r="F1958" s="3"/>
      <c r="G1958" s="3"/>
    </row>
    <row r="1959" spans="6:7" x14ac:dyDescent="0.25">
      <c r="F1959" s="3"/>
      <c r="G1959" s="3"/>
    </row>
    <row r="1960" spans="6:7" x14ac:dyDescent="0.25">
      <c r="F1960" s="3"/>
      <c r="G1960" s="3"/>
    </row>
    <row r="1961" spans="6:7" x14ac:dyDescent="0.25">
      <c r="F1961" s="3"/>
      <c r="G1961" s="3"/>
    </row>
    <row r="1962" spans="6:7" x14ac:dyDescent="0.25">
      <c r="F1962" s="3"/>
      <c r="G1962" s="3"/>
    </row>
    <row r="1963" spans="6:7" x14ac:dyDescent="0.25">
      <c r="F1963" s="3"/>
      <c r="G1963" s="3"/>
    </row>
    <row r="1964" spans="6:7" x14ac:dyDescent="0.25">
      <c r="F1964" s="3"/>
      <c r="G1964" s="3"/>
    </row>
    <row r="1965" spans="6:7" x14ac:dyDescent="0.25">
      <c r="F1965" s="3"/>
      <c r="G1965" s="3"/>
    </row>
    <row r="1966" spans="6:7" x14ac:dyDescent="0.25">
      <c r="F1966" s="3"/>
      <c r="G1966" s="3"/>
    </row>
    <row r="1967" spans="6:7" x14ac:dyDescent="0.25">
      <c r="F1967" s="3"/>
      <c r="G1967" s="3"/>
    </row>
    <row r="1968" spans="6:7" x14ac:dyDescent="0.25">
      <c r="F1968" s="3"/>
      <c r="G1968" s="3"/>
    </row>
    <row r="1969" spans="6:7" x14ac:dyDescent="0.25">
      <c r="F1969" s="3"/>
      <c r="G1969" s="3"/>
    </row>
    <row r="1970" spans="6:7" x14ac:dyDescent="0.25">
      <c r="F1970" s="3"/>
      <c r="G1970" s="3"/>
    </row>
    <row r="1971" spans="6:7" x14ac:dyDescent="0.25">
      <c r="F1971" s="3"/>
      <c r="G1971" s="3"/>
    </row>
    <row r="1972" spans="6:7" x14ac:dyDescent="0.25">
      <c r="F1972" s="3"/>
      <c r="G1972" s="3"/>
    </row>
    <row r="1973" spans="6:7" x14ac:dyDescent="0.25">
      <c r="F1973" s="3"/>
      <c r="G1973" s="3"/>
    </row>
    <row r="1974" spans="6:7" x14ac:dyDescent="0.25">
      <c r="F1974" s="3"/>
      <c r="G1974" s="3"/>
    </row>
    <row r="1975" spans="6:7" x14ac:dyDescent="0.25">
      <c r="F1975" s="3"/>
      <c r="G1975" s="3"/>
    </row>
    <row r="1976" spans="6:7" x14ac:dyDescent="0.25">
      <c r="F1976" s="3"/>
      <c r="G1976" s="3"/>
    </row>
    <row r="1977" spans="6:7" x14ac:dyDescent="0.25">
      <c r="F1977" s="3"/>
      <c r="G1977" s="3"/>
    </row>
    <row r="1978" spans="6:7" x14ac:dyDescent="0.25">
      <c r="F1978" s="3"/>
      <c r="G1978" s="3"/>
    </row>
    <row r="1979" spans="6:7" x14ac:dyDescent="0.25">
      <c r="F1979" s="3"/>
      <c r="G1979" s="3"/>
    </row>
    <row r="1980" spans="6:7" x14ac:dyDescent="0.25">
      <c r="F1980" s="3"/>
      <c r="G1980" s="3"/>
    </row>
    <row r="1981" spans="6:7" x14ac:dyDescent="0.25">
      <c r="F1981" s="3"/>
      <c r="G1981" s="3"/>
    </row>
    <row r="1982" spans="6:7" x14ac:dyDescent="0.25">
      <c r="F1982" s="3"/>
      <c r="G1982" s="3"/>
    </row>
    <row r="1983" spans="6:7" x14ac:dyDescent="0.25">
      <c r="F1983" s="3"/>
      <c r="G1983" s="3"/>
    </row>
    <row r="1984" spans="6:7" x14ac:dyDescent="0.25">
      <c r="F1984" s="3"/>
      <c r="G1984" s="3"/>
    </row>
    <row r="1985" spans="6:7" x14ac:dyDescent="0.25">
      <c r="F1985" s="3"/>
      <c r="G1985" s="3"/>
    </row>
    <row r="1986" spans="6:7" x14ac:dyDescent="0.25">
      <c r="F1986" s="3"/>
      <c r="G1986" s="3"/>
    </row>
    <row r="1987" spans="6:7" x14ac:dyDescent="0.25">
      <c r="F1987" s="3"/>
      <c r="G1987" s="3"/>
    </row>
    <row r="1988" spans="6:7" x14ac:dyDescent="0.25">
      <c r="F1988" s="3"/>
      <c r="G1988" s="3"/>
    </row>
    <row r="1989" spans="6:7" x14ac:dyDescent="0.25">
      <c r="F1989" s="3"/>
      <c r="G1989" s="3"/>
    </row>
    <row r="1990" spans="6:7" x14ac:dyDescent="0.25">
      <c r="F1990" s="3"/>
      <c r="G1990" s="3"/>
    </row>
    <row r="1991" spans="6:7" x14ac:dyDescent="0.25">
      <c r="F1991" s="3"/>
      <c r="G1991" s="3"/>
    </row>
    <row r="1992" spans="6:7" x14ac:dyDescent="0.25">
      <c r="F1992" s="3"/>
      <c r="G1992" s="3"/>
    </row>
    <row r="1993" spans="6:7" x14ac:dyDescent="0.25">
      <c r="F1993" s="3"/>
      <c r="G1993" s="3"/>
    </row>
    <row r="1994" spans="6:7" x14ac:dyDescent="0.25">
      <c r="F1994" s="3"/>
      <c r="G1994" s="3"/>
    </row>
    <row r="1995" spans="6:7" x14ac:dyDescent="0.25">
      <c r="F1995" s="3"/>
      <c r="G1995" s="3"/>
    </row>
    <row r="1996" spans="6:7" x14ac:dyDescent="0.25">
      <c r="F1996" s="3"/>
      <c r="G1996" s="3"/>
    </row>
    <row r="1997" spans="6:7" x14ac:dyDescent="0.25">
      <c r="F1997" s="3"/>
      <c r="G1997" s="3"/>
    </row>
    <row r="1998" spans="6:7" x14ac:dyDescent="0.25">
      <c r="F1998" s="3"/>
      <c r="G1998" s="3"/>
    </row>
    <row r="1999" spans="6:7" x14ac:dyDescent="0.25">
      <c r="F1999" s="3"/>
      <c r="G1999" s="3"/>
    </row>
    <row r="2000" spans="6:7" x14ac:dyDescent="0.25">
      <c r="F2000" s="3"/>
      <c r="G2000" s="3"/>
    </row>
    <row r="2001" spans="6:7" x14ac:dyDescent="0.25">
      <c r="F2001" s="3"/>
      <c r="G2001" s="3"/>
    </row>
    <row r="2002" spans="6:7" x14ac:dyDescent="0.25">
      <c r="F2002" s="3"/>
      <c r="G2002" s="3"/>
    </row>
    <row r="2003" spans="6:7" x14ac:dyDescent="0.25">
      <c r="F2003" s="3"/>
      <c r="G2003" s="3"/>
    </row>
    <row r="2004" spans="6:7" x14ac:dyDescent="0.25">
      <c r="F2004" s="3"/>
      <c r="G2004" s="3"/>
    </row>
    <row r="2005" spans="6:7" x14ac:dyDescent="0.25">
      <c r="F2005" s="3"/>
      <c r="G2005" s="3"/>
    </row>
    <row r="2006" spans="6:7" x14ac:dyDescent="0.25">
      <c r="F2006" s="3"/>
      <c r="G2006" s="3"/>
    </row>
    <row r="2007" spans="6:7" x14ac:dyDescent="0.25">
      <c r="F2007" s="3"/>
      <c r="G2007" s="3"/>
    </row>
    <row r="2008" spans="6:7" x14ac:dyDescent="0.25">
      <c r="F2008" s="3"/>
      <c r="G2008" s="3"/>
    </row>
    <row r="2009" spans="6:7" x14ac:dyDescent="0.25">
      <c r="F2009" s="3"/>
      <c r="G2009" s="3"/>
    </row>
    <row r="2010" spans="6:7" x14ac:dyDescent="0.25">
      <c r="F2010" s="3"/>
      <c r="G2010" s="3"/>
    </row>
    <row r="2011" spans="6:7" x14ac:dyDescent="0.25">
      <c r="F2011" s="3"/>
      <c r="G2011" s="3"/>
    </row>
    <row r="2012" spans="6:7" x14ac:dyDescent="0.25">
      <c r="F2012" s="3"/>
      <c r="G2012" s="3"/>
    </row>
    <row r="2013" spans="6:7" x14ac:dyDescent="0.25">
      <c r="F2013" s="3"/>
      <c r="G2013" s="3"/>
    </row>
    <row r="2014" spans="6:7" x14ac:dyDescent="0.25">
      <c r="F2014" s="3"/>
      <c r="G2014" s="3"/>
    </row>
    <row r="2015" spans="6:7" x14ac:dyDescent="0.25">
      <c r="F2015" s="3"/>
      <c r="G2015" s="3"/>
    </row>
    <row r="2016" spans="6:7" x14ac:dyDescent="0.25">
      <c r="F2016" s="3"/>
      <c r="G2016" s="3"/>
    </row>
    <row r="2017" spans="6:7" x14ac:dyDescent="0.25">
      <c r="F2017" s="3"/>
      <c r="G2017" s="3"/>
    </row>
    <row r="2018" spans="6:7" x14ac:dyDescent="0.25">
      <c r="F2018" s="3"/>
      <c r="G2018" s="3"/>
    </row>
    <row r="2019" spans="6:7" x14ac:dyDescent="0.25">
      <c r="F2019" s="3"/>
      <c r="G2019" s="3"/>
    </row>
    <row r="2020" spans="6:7" x14ac:dyDescent="0.25">
      <c r="F2020" s="3"/>
      <c r="G2020" s="3"/>
    </row>
    <row r="2021" spans="6:7" x14ac:dyDescent="0.25">
      <c r="F2021" s="3"/>
      <c r="G2021" s="3"/>
    </row>
    <row r="2022" spans="6:7" x14ac:dyDescent="0.25">
      <c r="F2022" s="3"/>
      <c r="G2022" s="3"/>
    </row>
    <row r="2023" spans="6:7" x14ac:dyDescent="0.25">
      <c r="F2023" s="3"/>
      <c r="G2023" s="3"/>
    </row>
    <row r="2024" spans="6:7" x14ac:dyDescent="0.25">
      <c r="F2024" s="3"/>
      <c r="G2024" s="3"/>
    </row>
    <row r="2025" spans="6:7" x14ac:dyDescent="0.25">
      <c r="F2025" s="3"/>
      <c r="G2025" s="3"/>
    </row>
    <row r="2026" spans="6:7" x14ac:dyDescent="0.25">
      <c r="F2026" s="3"/>
      <c r="G2026" s="3"/>
    </row>
    <row r="2027" spans="6:7" x14ac:dyDescent="0.25">
      <c r="F2027" s="3"/>
      <c r="G2027" s="3"/>
    </row>
    <row r="2028" spans="6:7" x14ac:dyDescent="0.25">
      <c r="F2028" s="3"/>
      <c r="G2028" s="3"/>
    </row>
    <row r="2029" spans="6:7" x14ac:dyDescent="0.25">
      <c r="F2029" s="3"/>
      <c r="G2029" s="3"/>
    </row>
    <row r="2030" spans="6:7" x14ac:dyDescent="0.25">
      <c r="F2030" s="3"/>
      <c r="G2030" s="3"/>
    </row>
    <row r="2031" spans="6:7" x14ac:dyDescent="0.25">
      <c r="F2031" s="3"/>
      <c r="G2031" s="3"/>
    </row>
    <row r="2032" spans="6:7" x14ac:dyDescent="0.25">
      <c r="F2032" s="3"/>
      <c r="G2032" s="3"/>
    </row>
    <row r="2033" spans="6:7" x14ac:dyDescent="0.25">
      <c r="F2033" s="3"/>
      <c r="G2033" s="3"/>
    </row>
    <row r="2034" spans="6:7" x14ac:dyDescent="0.25">
      <c r="F2034" s="3"/>
      <c r="G2034" s="3"/>
    </row>
    <row r="2035" spans="6:7" x14ac:dyDescent="0.25">
      <c r="F2035" s="3"/>
      <c r="G2035" s="3"/>
    </row>
    <row r="2036" spans="6:7" x14ac:dyDescent="0.25">
      <c r="F2036" s="3"/>
      <c r="G2036" s="3"/>
    </row>
    <row r="2037" spans="6:7" x14ac:dyDescent="0.25">
      <c r="F2037" s="3"/>
      <c r="G2037" s="3"/>
    </row>
    <row r="2038" spans="6:7" x14ac:dyDescent="0.25">
      <c r="F2038" s="3"/>
      <c r="G2038" s="3"/>
    </row>
    <row r="2039" spans="6:7" x14ac:dyDescent="0.25">
      <c r="F2039" s="3"/>
      <c r="G2039" s="3"/>
    </row>
    <row r="2040" spans="6:7" x14ac:dyDescent="0.25">
      <c r="F2040" s="3"/>
      <c r="G2040" s="3"/>
    </row>
    <row r="2041" spans="6:7" x14ac:dyDescent="0.25">
      <c r="F2041" s="3"/>
      <c r="G2041" s="3"/>
    </row>
    <row r="2042" spans="6:7" x14ac:dyDescent="0.25">
      <c r="F2042" s="3"/>
      <c r="G2042" s="3"/>
    </row>
    <row r="2043" spans="6:7" x14ac:dyDescent="0.25">
      <c r="F2043" s="3"/>
      <c r="G2043" s="3"/>
    </row>
    <row r="2044" spans="6:7" x14ac:dyDescent="0.25">
      <c r="F2044" s="3"/>
      <c r="G2044" s="3"/>
    </row>
    <row r="2045" spans="6:7" x14ac:dyDescent="0.25">
      <c r="F2045" s="3"/>
      <c r="G2045" s="3"/>
    </row>
    <row r="2046" spans="6:7" x14ac:dyDescent="0.25">
      <c r="F2046" s="3"/>
      <c r="G2046" s="3"/>
    </row>
    <row r="2047" spans="6:7" x14ac:dyDescent="0.25">
      <c r="F2047" s="3"/>
      <c r="G2047" s="3"/>
    </row>
    <row r="2048" spans="6:7" x14ac:dyDescent="0.25">
      <c r="F2048" s="3"/>
      <c r="G2048" s="3"/>
    </row>
    <row r="2049" spans="6:7" x14ac:dyDescent="0.25">
      <c r="F2049" s="3"/>
      <c r="G2049" s="3"/>
    </row>
    <row r="2050" spans="6:7" x14ac:dyDescent="0.25">
      <c r="F2050" s="3"/>
      <c r="G2050" s="3"/>
    </row>
    <row r="2051" spans="6:7" x14ac:dyDescent="0.25">
      <c r="F2051" s="3"/>
      <c r="G2051" s="3"/>
    </row>
    <row r="2052" spans="6:7" x14ac:dyDescent="0.25">
      <c r="F2052" s="3"/>
      <c r="G2052" s="3"/>
    </row>
    <row r="2053" spans="6:7" x14ac:dyDescent="0.25">
      <c r="F2053" s="3"/>
      <c r="G2053" s="3"/>
    </row>
    <row r="2054" spans="6:7" x14ac:dyDescent="0.25">
      <c r="F2054" s="3"/>
      <c r="G2054" s="3"/>
    </row>
    <row r="2055" spans="6:7" x14ac:dyDescent="0.25">
      <c r="F2055" s="3"/>
      <c r="G2055" s="3"/>
    </row>
    <row r="2056" spans="6:7" x14ac:dyDescent="0.25">
      <c r="F2056" s="3"/>
      <c r="G2056" s="3"/>
    </row>
    <row r="2057" spans="6:7" x14ac:dyDescent="0.25">
      <c r="F2057" s="3"/>
      <c r="G2057" s="3"/>
    </row>
    <row r="2058" spans="6:7" x14ac:dyDescent="0.25">
      <c r="F2058" s="3"/>
      <c r="G2058" s="3"/>
    </row>
    <row r="2059" spans="6:7" x14ac:dyDescent="0.25">
      <c r="F2059" s="3"/>
      <c r="G2059" s="3"/>
    </row>
    <row r="2060" spans="6:7" x14ac:dyDescent="0.25">
      <c r="F2060" s="3"/>
      <c r="G2060" s="3"/>
    </row>
    <row r="2061" spans="6:7" x14ac:dyDescent="0.25">
      <c r="F2061" s="3"/>
      <c r="G2061" s="3"/>
    </row>
    <row r="2062" spans="6:7" x14ac:dyDescent="0.25">
      <c r="F2062" s="3"/>
      <c r="G2062" s="3"/>
    </row>
    <row r="2063" spans="6:7" x14ac:dyDescent="0.25">
      <c r="F2063" s="3"/>
      <c r="G2063" s="3"/>
    </row>
    <row r="2064" spans="6:7" x14ac:dyDescent="0.25">
      <c r="F2064" s="3"/>
      <c r="G2064" s="3"/>
    </row>
    <row r="2065" spans="6:7" x14ac:dyDescent="0.25">
      <c r="F2065" s="3"/>
      <c r="G2065" s="3"/>
    </row>
    <row r="2066" spans="6:7" x14ac:dyDescent="0.25">
      <c r="F2066" s="3"/>
      <c r="G2066" s="3"/>
    </row>
    <row r="2067" spans="6:7" x14ac:dyDescent="0.25">
      <c r="F2067" s="3"/>
      <c r="G2067" s="3"/>
    </row>
    <row r="2068" spans="6:7" x14ac:dyDescent="0.25">
      <c r="F2068" s="3"/>
      <c r="G2068" s="3"/>
    </row>
    <row r="2069" spans="6:7" x14ac:dyDescent="0.25">
      <c r="F2069" s="3"/>
      <c r="G2069" s="3"/>
    </row>
    <row r="2070" spans="6:7" x14ac:dyDescent="0.25">
      <c r="F2070" s="3"/>
      <c r="G2070" s="3"/>
    </row>
    <row r="2071" spans="6:7" x14ac:dyDescent="0.25">
      <c r="F2071" s="3"/>
      <c r="G2071" s="3"/>
    </row>
    <row r="2072" spans="6:7" x14ac:dyDescent="0.25">
      <c r="F2072" s="3"/>
      <c r="G2072" s="3"/>
    </row>
    <row r="2073" spans="6:7" x14ac:dyDescent="0.25">
      <c r="F2073" s="3"/>
      <c r="G2073" s="3"/>
    </row>
    <row r="2074" spans="6:7" x14ac:dyDescent="0.25">
      <c r="F2074" s="3"/>
      <c r="G2074" s="3"/>
    </row>
    <row r="2075" spans="6:7" x14ac:dyDescent="0.25">
      <c r="F2075" s="3"/>
      <c r="G2075" s="3"/>
    </row>
    <row r="2076" spans="6:7" x14ac:dyDescent="0.25">
      <c r="F2076" s="3"/>
      <c r="G2076" s="3"/>
    </row>
    <row r="2077" spans="6:7" x14ac:dyDescent="0.25">
      <c r="F2077" s="3"/>
      <c r="G2077" s="3"/>
    </row>
    <row r="2078" spans="6:7" x14ac:dyDescent="0.25">
      <c r="F2078" s="3"/>
      <c r="G2078" s="3"/>
    </row>
    <row r="2079" spans="6:7" x14ac:dyDescent="0.25">
      <c r="F2079" s="3"/>
      <c r="G2079" s="3"/>
    </row>
    <row r="2080" spans="6:7" x14ac:dyDescent="0.25">
      <c r="F2080" s="3"/>
      <c r="G2080" s="3"/>
    </row>
    <row r="2081" spans="6:7" x14ac:dyDescent="0.25">
      <c r="F2081" s="3"/>
      <c r="G2081" s="3"/>
    </row>
    <row r="2082" spans="6:7" x14ac:dyDescent="0.25">
      <c r="F2082" s="3"/>
      <c r="G2082" s="3"/>
    </row>
    <row r="2083" spans="6:7" x14ac:dyDescent="0.25">
      <c r="F2083" s="3"/>
      <c r="G2083" s="3"/>
    </row>
    <row r="2084" spans="6:7" x14ac:dyDescent="0.25">
      <c r="F2084" s="3"/>
      <c r="G2084" s="3"/>
    </row>
    <row r="2085" spans="6:7" x14ac:dyDescent="0.25">
      <c r="F2085" s="3"/>
      <c r="G2085" s="3"/>
    </row>
    <row r="2086" spans="6:7" x14ac:dyDescent="0.25">
      <c r="F2086" s="3"/>
      <c r="G2086" s="3"/>
    </row>
    <row r="2087" spans="6:7" x14ac:dyDescent="0.25">
      <c r="F2087" s="3"/>
      <c r="G2087" s="3"/>
    </row>
    <row r="2088" spans="6:7" x14ac:dyDescent="0.25">
      <c r="F2088" s="3"/>
      <c r="G2088" s="3"/>
    </row>
    <row r="2089" spans="6:7" x14ac:dyDescent="0.25">
      <c r="F2089" s="3"/>
      <c r="G2089" s="3"/>
    </row>
    <row r="2090" spans="6:7" x14ac:dyDescent="0.25">
      <c r="F2090" s="3"/>
      <c r="G2090" s="3"/>
    </row>
    <row r="2091" spans="6:7" x14ac:dyDescent="0.25">
      <c r="F2091" s="3"/>
      <c r="G2091" s="3"/>
    </row>
    <row r="2092" spans="6:7" x14ac:dyDescent="0.25">
      <c r="F2092" s="3"/>
      <c r="G2092" s="3"/>
    </row>
    <row r="2093" spans="6:7" x14ac:dyDescent="0.25">
      <c r="F2093" s="3"/>
      <c r="G2093" s="3"/>
    </row>
    <row r="2094" spans="6:7" x14ac:dyDescent="0.25">
      <c r="F2094" s="3"/>
      <c r="G2094" s="3"/>
    </row>
    <row r="2095" spans="6:7" x14ac:dyDescent="0.25">
      <c r="F2095" s="3"/>
      <c r="G2095" s="3"/>
    </row>
    <row r="2096" spans="6:7" x14ac:dyDescent="0.25">
      <c r="F2096" s="3"/>
      <c r="G2096" s="3"/>
    </row>
    <row r="2097" spans="6:7" x14ac:dyDescent="0.25">
      <c r="F2097" s="3"/>
      <c r="G2097" s="3"/>
    </row>
    <row r="2098" spans="6:7" x14ac:dyDescent="0.25">
      <c r="F2098" s="3"/>
      <c r="G2098" s="3"/>
    </row>
    <row r="2099" spans="6:7" x14ac:dyDescent="0.25">
      <c r="F2099" s="3"/>
      <c r="G2099" s="3"/>
    </row>
    <row r="2100" spans="6:7" x14ac:dyDescent="0.25">
      <c r="F2100" s="3"/>
      <c r="G2100" s="3"/>
    </row>
    <row r="2101" spans="6:7" x14ac:dyDescent="0.25">
      <c r="F2101" s="3"/>
      <c r="G2101" s="3"/>
    </row>
    <row r="2102" spans="6:7" x14ac:dyDescent="0.25">
      <c r="F2102" s="3"/>
      <c r="G2102" s="3"/>
    </row>
    <row r="2103" spans="6:7" x14ac:dyDescent="0.25">
      <c r="F2103" s="3"/>
      <c r="G2103" s="3"/>
    </row>
    <row r="2104" spans="6:7" x14ac:dyDescent="0.25">
      <c r="F2104" s="3"/>
      <c r="G2104" s="3"/>
    </row>
    <row r="2105" spans="6:7" x14ac:dyDescent="0.25">
      <c r="F2105" s="3"/>
      <c r="G2105" s="3"/>
    </row>
    <row r="2106" spans="6:7" x14ac:dyDescent="0.25">
      <c r="F2106" s="3"/>
      <c r="G2106" s="3"/>
    </row>
    <row r="2107" spans="6:7" x14ac:dyDescent="0.25">
      <c r="F2107" s="3"/>
      <c r="G2107" s="3"/>
    </row>
    <row r="2108" spans="6:7" x14ac:dyDescent="0.25">
      <c r="F2108" s="3"/>
      <c r="G2108" s="3"/>
    </row>
    <row r="2109" spans="6:7" x14ac:dyDescent="0.25">
      <c r="F2109" s="3"/>
      <c r="G2109" s="3"/>
    </row>
    <row r="2110" spans="6:7" x14ac:dyDescent="0.25">
      <c r="F2110" s="3"/>
      <c r="G2110" s="3"/>
    </row>
    <row r="2111" spans="6:7" x14ac:dyDescent="0.25">
      <c r="F2111" s="3"/>
      <c r="G2111" s="3"/>
    </row>
    <row r="2112" spans="6:7" x14ac:dyDescent="0.25">
      <c r="F2112" s="3"/>
      <c r="G2112" s="3"/>
    </row>
    <row r="2113" spans="6:7" x14ac:dyDescent="0.25">
      <c r="F2113" s="3"/>
      <c r="G2113" s="3"/>
    </row>
    <row r="2114" spans="6:7" x14ac:dyDescent="0.25">
      <c r="F2114" s="3"/>
      <c r="G2114" s="3"/>
    </row>
    <row r="2115" spans="6:7" x14ac:dyDescent="0.25">
      <c r="F2115" s="3"/>
      <c r="G2115" s="3"/>
    </row>
    <row r="2116" spans="6:7" x14ac:dyDescent="0.25">
      <c r="F2116" s="3"/>
      <c r="G2116" s="3"/>
    </row>
    <row r="2117" spans="6:7" x14ac:dyDescent="0.25">
      <c r="F2117" s="3"/>
      <c r="G2117" s="3"/>
    </row>
    <row r="2118" spans="6:7" x14ac:dyDescent="0.25">
      <c r="F2118" s="3"/>
      <c r="G2118" s="3"/>
    </row>
    <row r="2119" spans="6:7" x14ac:dyDescent="0.25">
      <c r="F2119" s="3"/>
      <c r="G2119" s="3"/>
    </row>
    <row r="2120" spans="6:7" x14ac:dyDescent="0.25">
      <c r="F2120" s="3"/>
      <c r="G2120" s="3"/>
    </row>
    <row r="2121" spans="6:7" x14ac:dyDescent="0.25">
      <c r="F2121" s="3"/>
      <c r="G2121" s="3"/>
    </row>
    <row r="2122" spans="6:7" x14ac:dyDescent="0.25">
      <c r="F2122" s="3"/>
      <c r="G2122" s="3"/>
    </row>
    <row r="2123" spans="6:7" x14ac:dyDescent="0.25">
      <c r="F2123" s="3"/>
      <c r="G2123" s="3"/>
    </row>
    <row r="2124" spans="6:7" x14ac:dyDescent="0.25">
      <c r="F2124" s="3"/>
      <c r="G2124" s="3"/>
    </row>
    <row r="2125" spans="6:7" x14ac:dyDescent="0.25">
      <c r="F2125" s="3"/>
      <c r="G2125" s="3"/>
    </row>
    <row r="2126" spans="6:7" x14ac:dyDescent="0.25">
      <c r="F2126" s="3"/>
      <c r="G2126" s="3"/>
    </row>
    <row r="2127" spans="6:7" x14ac:dyDescent="0.25">
      <c r="F2127" s="3"/>
      <c r="G2127" s="3"/>
    </row>
    <row r="2128" spans="6:7" x14ac:dyDescent="0.25">
      <c r="F2128" s="3"/>
      <c r="G2128" s="3"/>
    </row>
    <row r="2129" spans="6:7" x14ac:dyDescent="0.25">
      <c r="F2129" s="3"/>
      <c r="G2129" s="3"/>
    </row>
    <row r="2130" spans="6:7" x14ac:dyDescent="0.25">
      <c r="F2130" s="3"/>
      <c r="G2130" s="3"/>
    </row>
    <row r="2131" spans="6:7" x14ac:dyDescent="0.25">
      <c r="F2131" s="3"/>
      <c r="G2131" s="3"/>
    </row>
    <row r="2132" spans="6:7" x14ac:dyDescent="0.25">
      <c r="F2132" s="3"/>
      <c r="G2132" s="3"/>
    </row>
    <row r="2133" spans="6:7" x14ac:dyDescent="0.25">
      <c r="F2133" s="3"/>
      <c r="G2133" s="3"/>
    </row>
    <row r="2134" spans="6:7" x14ac:dyDescent="0.25">
      <c r="F2134" s="3"/>
      <c r="G2134" s="3"/>
    </row>
    <row r="2135" spans="6:7" x14ac:dyDescent="0.25">
      <c r="F2135" s="3"/>
      <c r="G2135" s="3"/>
    </row>
    <row r="2136" spans="6:7" x14ac:dyDescent="0.25">
      <c r="F2136" s="3"/>
      <c r="G2136" s="3"/>
    </row>
    <row r="2137" spans="6:7" x14ac:dyDescent="0.25">
      <c r="F2137" s="3"/>
      <c r="G2137" s="3"/>
    </row>
    <row r="2138" spans="6:7" x14ac:dyDescent="0.25">
      <c r="F2138" s="3"/>
      <c r="G2138" s="3"/>
    </row>
    <row r="2139" spans="6:7" x14ac:dyDescent="0.25">
      <c r="F2139" s="3"/>
      <c r="G2139" s="3"/>
    </row>
    <row r="2140" spans="6:7" x14ac:dyDescent="0.25">
      <c r="F2140" s="3"/>
      <c r="G2140" s="3"/>
    </row>
    <row r="2141" spans="6:7" x14ac:dyDescent="0.25">
      <c r="F2141" s="3"/>
      <c r="G2141" s="3"/>
    </row>
    <row r="2142" spans="6:7" x14ac:dyDescent="0.25">
      <c r="F2142" s="3"/>
      <c r="G2142" s="3"/>
    </row>
    <row r="2143" spans="6:7" x14ac:dyDescent="0.25">
      <c r="F2143" s="3"/>
      <c r="G2143" s="3"/>
    </row>
    <row r="2144" spans="6:7" x14ac:dyDescent="0.25">
      <c r="F2144" s="3"/>
      <c r="G2144" s="3"/>
    </row>
    <row r="2145" spans="6:7" x14ac:dyDescent="0.25">
      <c r="F2145" s="3"/>
      <c r="G2145" s="3"/>
    </row>
    <row r="2146" spans="6:7" x14ac:dyDescent="0.25">
      <c r="F2146" s="3"/>
      <c r="G2146" s="3"/>
    </row>
    <row r="2147" spans="6:7" x14ac:dyDescent="0.25">
      <c r="F2147" s="3"/>
      <c r="G2147" s="3"/>
    </row>
    <row r="2148" spans="6:7" x14ac:dyDescent="0.25">
      <c r="F2148" s="3"/>
      <c r="G2148" s="3"/>
    </row>
    <row r="2149" spans="6:7" x14ac:dyDescent="0.25">
      <c r="F2149" s="3"/>
      <c r="G2149" s="3"/>
    </row>
    <row r="2150" spans="6:7" x14ac:dyDescent="0.25">
      <c r="F2150" s="3"/>
      <c r="G2150" s="3"/>
    </row>
    <row r="2151" spans="6:7" x14ac:dyDescent="0.25">
      <c r="F2151" s="3"/>
      <c r="G2151" s="3"/>
    </row>
    <row r="2152" spans="6:7" x14ac:dyDescent="0.25">
      <c r="F2152" s="3"/>
      <c r="G2152" s="3"/>
    </row>
    <row r="2153" spans="6:7" x14ac:dyDescent="0.25">
      <c r="F2153" s="3"/>
      <c r="G2153" s="3"/>
    </row>
    <row r="2154" spans="6:7" x14ac:dyDescent="0.25">
      <c r="F2154" s="3"/>
      <c r="G2154" s="3"/>
    </row>
    <row r="2155" spans="6:7" x14ac:dyDescent="0.25">
      <c r="F2155" s="3"/>
      <c r="G2155" s="3"/>
    </row>
    <row r="2156" spans="6:7" x14ac:dyDescent="0.25">
      <c r="F2156" s="3"/>
      <c r="G2156" s="3"/>
    </row>
    <row r="2157" spans="6:7" x14ac:dyDescent="0.25">
      <c r="F2157" s="3"/>
      <c r="G2157" s="3"/>
    </row>
    <row r="2158" spans="6:7" x14ac:dyDescent="0.25">
      <c r="F2158" s="3"/>
      <c r="G2158" s="3"/>
    </row>
    <row r="2159" spans="6:7" x14ac:dyDescent="0.25">
      <c r="F2159" s="3"/>
      <c r="G2159" s="3"/>
    </row>
    <row r="2160" spans="6:7" x14ac:dyDescent="0.25">
      <c r="F2160" s="3"/>
      <c r="G2160" s="3"/>
    </row>
    <row r="2161" spans="6:7" x14ac:dyDescent="0.25">
      <c r="F2161" s="3"/>
      <c r="G2161" s="3"/>
    </row>
    <row r="2162" spans="6:7" x14ac:dyDescent="0.25">
      <c r="F2162" s="3"/>
      <c r="G2162" s="3"/>
    </row>
    <row r="2163" spans="6:7" x14ac:dyDescent="0.25">
      <c r="F2163" s="3"/>
      <c r="G2163" s="3"/>
    </row>
    <row r="2164" spans="6:7" x14ac:dyDescent="0.25">
      <c r="F2164" s="3"/>
      <c r="G2164" s="3"/>
    </row>
    <row r="2165" spans="6:7" x14ac:dyDescent="0.25">
      <c r="F2165" s="3"/>
      <c r="G2165" s="3"/>
    </row>
    <row r="2166" spans="6:7" x14ac:dyDescent="0.25">
      <c r="F2166" s="3"/>
      <c r="G2166" s="3"/>
    </row>
    <row r="2167" spans="6:7" x14ac:dyDescent="0.25">
      <c r="F2167" s="3"/>
      <c r="G2167" s="3"/>
    </row>
    <row r="2168" spans="6:7" x14ac:dyDescent="0.25">
      <c r="F2168" s="3"/>
      <c r="G2168" s="3"/>
    </row>
    <row r="2169" spans="6:7" x14ac:dyDescent="0.25">
      <c r="F2169" s="3"/>
      <c r="G2169" s="3"/>
    </row>
    <row r="2170" spans="6:7" x14ac:dyDescent="0.25">
      <c r="F2170" s="3"/>
      <c r="G2170" s="3"/>
    </row>
    <row r="2171" spans="6:7" x14ac:dyDescent="0.25">
      <c r="F2171" s="3"/>
      <c r="G2171" s="3"/>
    </row>
    <row r="2172" spans="6:7" x14ac:dyDescent="0.25">
      <c r="F2172" s="3"/>
      <c r="G2172" s="3"/>
    </row>
    <row r="2173" spans="6:7" x14ac:dyDescent="0.25">
      <c r="F2173" s="3"/>
      <c r="G2173" s="3"/>
    </row>
    <row r="2174" spans="6:7" x14ac:dyDescent="0.25">
      <c r="F2174" s="3"/>
      <c r="G2174" s="3"/>
    </row>
    <row r="2175" spans="6:7" x14ac:dyDescent="0.25">
      <c r="F2175" s="3"/>
      <c r="G2175" s="3"/>
    </row>
    <row r="2176" spans="6:7" x14ac:dyDescent="0.25">
      <c r="F2176" s="3"/>
      <c r="G2176" s="3"/>
    </row>
    <row r="2177" spans="6:7" x14ac:dyDescent="0.25">
      <c r="F2177" s="3"/>
      <c r="G2177" s="3"/>
    </row>
    <row r="2178" spans="6:7" x14ac:dyDescent="0.25">
      <c r="F2178" s="3"/>
      <c r="G2178" s="3"/>
    </row>
    <row r="2179" spans="6:7" x14ac:dyDescent="0.25">
      <c r="F2179" s="3"/>
      <c r="G2179" s="3"/>
    </row>
    <row r="2180" spans="6:7" x14ac:dyDescent="0.25">
      <c r="F2180" s="3"/>
      <c r="G2180" s="3"/>
    </row>
    <row r="2181" spans="6:7" x14ac:dyDescent="0.25">
      <c r="F2181" s="3"/>
      <c r="G2181" s="3"/>
    </row>
    <row r="2182" spans="6:7" x14ac:dyDescent="0.25">
      <c r="F2182" s="3"/>
      <c r="G2182" s="3"/>
    </row>
    <row r="2183" spans="6:7" x14ac:dyDescent="0.25">
      <c r="F2183" s="3"/>
      <c r="G2183" s="3"/>
    </row>
    <row r="2184" spans="6:7" x14ac:dyDescent="0.25">
      <c r="F2184" s="3"/>
      <c r="G2184" s="3"/>
    </row>
    <row r="2185" spans="6:7" x14ac:dyDescent="0.25">
      <c r="F2185" s="3"/>
      <c r="G2185" s="3"/>
    </row>
    <row r="2186" spans="6:7" x14ac:dyDescent="0.25">
      <c r="F2186" s="3"/>
      <c r="G2186" s="3"/>
    </row>
    <row r="2187" spans="6:7" x14ac:dyDescent="0.25">
      <c r="F2187" s="3"/>
      <c r="G2187" s="3"/>
    </row>
    <row r="2188" spans="6:7" x14ac:dyDescent="0.25">
      <c r="F2188" s="3"/>
      <c r="G2188" s="3"/>
    </row>
    <row r="2189" spans="6:7" x14ac:dyDescent="0.25">
      <c r="F2189" s="3"/>
      <c r="G2189" s="3"/>
    </row>
    <row r="2190" spans="6:7" x14ac:dyDescent="0.25">
      <c r="F2190" s="3"/>
      <c r="G2190" s="3"/>
    </row>
    <row r="2191" spans="6:7" x14ac:dyDescent="0.25">
      <c r="F2191" s="3"/>
      <c r="G2191" s="3"/>
    </row>
    <row r="2192" spans="6:7" x14ac:dyDescent="0.25">
      <c r="F2192" s="3"/>
      <c r="G2192" s="3"/>
    </row>
    <row r="2193" spans="6:7" x14ac:dyDescent="0.25">
      <c r="F2193" s="3"/>
      <c r="G2193" s="3"/>
    </row>
    <row r="2194" spans="6:7" x14ac:dyDescent="0.25">
      <c r="F2194" s="3"/>
      <c r="G2194" s="3"/>
    </row>
    <row r="2195" spans="6:7" x14ac:dyDescent="0.25">
      <c r="F2195" s="3"/>
      <c r="G2195" s="3"/>
    </row>
    <row r="2196" spans="6:7" x14ac:dyDescent="0.25">
      <c r="F2196" s="3"/>
      <c r="G2196" s="3"/>
    </row>
    <row r="2197" spans="6:7" x14ac:dyDescent="0.25">
      <c r="F2197" s="3"/>
      <c r="G2197" s="3"/>
    </row>
    <row r="2198" spans="6:7" x14ac:dyDescent="0.25">
      <c r="F2198" s="3"/>
      <c r="G2198" s="3"/>
    </row>
    <row r="2199" spans="6:7" x14ac:dyDescent="0.25">
      <c r="F2199" s="3"/>
      <c r="G2199" s="3"/>
    </row>
    <row r="2200" spans="6:7" x14ac:dyDescent="0.25">
      <c r="F2200" s="3"/>
      <c r="G2200" s="3"/>
    </row>
    <row r="2201" spans="6:7" x14ac:dyDescent="0.25">
      <c r="F2201" s="3"/>
      <c r="G2201" s="3"/>
    </row>
    <row r="2202" spans="6:7" x14ac:dyDescent="0.25">
      <c r="F2202" s="3"/>
      <c r="G2202" s="3"/>
    </row>
    <row r="2203" spans="6:7" x14ac:dyDescent="0.25">
      <c r="F2203" s="3"/>
      <c r="G2203" s="3"/>
    </row>
    <row r="2204" spans="6:7" x14ac:dyDescent="0.25">
      <c r="F2204" s="3"/>
      <c r="G2204" s="3"/>
    </row>
    <row r="2205" spans="6:7" x14ac:dyDescent="0.25">
      <c r="F2205" s="3"/>
      <c r="G2205" s="3"/>
    </row>
    <row r="2206" spans="6:7" x14ac:dyDescent="0.25">
      <c r="F2206" s="3"/>
      <c r="G2206" s="3"/>
    </row>
    <row r="2207" spans="6:7" x14ac:dyDescent="0.25">
      <c r="F2207" s="3"/>
      <c r="G2207" s="3"/>
    </row>
    <row r="2208" spans="6:7" x14ac:dyDescent="0.25">
      <c r="F2208" s="3"/>
      <c r="G2208" s="3"/>
    </row>
    <row r="2209" spans="6:7" x14ac:dyDescent="0.25">
      <c r="F2209" s="3"/>
      <c r="G2209" s="3"/>
    </row>
    <row r="2210" spans="6:7" x14ac:dyDescent="0.25">
      <c r="F2210" s="3"/>
      <c r="G2210" s="3"/>
    </row>
    <row r="2211" spans="6:7" x14ac:dyDescent="0.25">
      <c r="F2211" s="3"/>
      <c r="G2211" s="3"/>
    </row>
    <row r="2212" spans="6:7" x14ac:dyDescent="0.25">
      <c r="F2212" s="3"/>
      <c r="G2212" s="3"/>
    </row>
    <row r="2213" spans="6:7" x14ac:dyDescent="0.25">
      <c r="F2213" s="3"/>
      <c r="G2213" s="3"/>
    </row>
    <row r="2214" spans="6:7" x14ac:dyDescent="0.25">
      <c r="F2214" s="3"/>
      <c r="G2214" s="3"/>
    </row>
    <row r="2215" spans="6:7" x14ac:dyDescent="0.25">
      <c r="F2215" s="3"/>
      <c r="G2215" s="3"/>
    </row>
    <row r="2216" spans="6:7" x14ac:dyDescent="0.25">
      <c r="F2216" s="3"/>
      <c r="G2216" s="3"/>
    </row>
    <row r="2217" spans="6:7" x14ac:dyDescent="0.25">
      <c r="F2217" s="3"/>
      <c r="G2217" s="3"/>
    </row>
    <row r="2218" spans="6:7" x14ac:dyDescent="0.25">
      <c r="F2218" s="3"/>
      <c r="G2218" s="3"/>
    </row>
    <row r="2219" spans="6:7" x14ac:dyDescent="0.25">
      <c r="F2219" s="3"/>
      <c r="G2219" s="3"/>
    </row>
    <row r="2220" spans="6:7" x14ac:dyDescent="0.25">
      <c r="F2220" s="3"/>
      <c r="G2220" s="3"/>
    </row>
    <row r="2221" spans="6:7" x14ac:dyDescent="0.25">
      <c r="F2221" s="3"/>
      <c r="G2221" s="3"/>
    </row>
    <row r="2222" spans="6:7" x14ac:dyDescent="0.25">
      <c r="F2222" s="3"/>
      <c r="G2222" s="3"/>
    </row>
    <row r="2223" spans="6:7" x14ac:dyDescent="0.25">
      <c r="F2223" s="3"/>
      <c r="G2223" s="3"/>
    </row>
    <row r="2224" spans="6:7" x14ac:dyDescent="0.25">
      <c r="F2224" s="3"/>
      <c r="G2224" s="3"/>
    </row>
    <row r="2225" spans="6:7" x14ac:dyDescent="0.25">
      <c r="F2225" s="3"/>
      <c r="G2225" s="3"/>
    </row>
    <row r="2226" spans="6:7" x14ac:dyDescent="0.25">
      <c r="F2226" s="3"/>
      <c r="G2226" s="3"/>
    </row>
    <row r="2227" spans="6:7" x14ac:dyDescent="0.25">
      <c r="F2227" s="3"/>
      <c r="G2227" s="3"/>
    </row>
    <row r="2228" spans="6:7" x14ac:dyDescent="0.25">
      <c r="F2228" s="3"/>
      <c r="G2228" s="3"/>
    </row>
    <row r="2229" spans="6:7" x14ac:dyDescent="0.25">
      <c r="F2229" s="3"/>
      <c r="G2229" s="3"/>
    </row>
    <row r="2230" spans="6:7" x14ac:dyDescent="0.25">
      <c r="F2230" s="3"/>
      <c r="G2230" s="3"/>
    </row>
    <row r="2231" spans="6:7" x14ac:dyDescent="0.25">
      <c r="F2231" s="3"/>
      <c r="G2231" s="3"/>
    </row>
    <row r="2232" spans="6:7" x14ac:dyDescent="0.25">
      <c r="F2232" s="3"/>
      <c r="G2232" s="3"/>
    </row>
    <row r="2233" spans="6:7" x14ac:dyDescent="0.25">
      <c r="F2233" s="3"/>
      <c r="G2233" s="3"/>
    </row>
    <row r="2234" spans="6:7" x14ac:dyDescent="0.25">
      <c r="F2234" s="3"/>
      <c r="G2234" s="3"/>
    </row>
    <row r="2235" spans="6:7" x14ac:dyDescent="0.25">
      <c r="F2235" s="3"/>
      <c r="G2235" s="3"/>
    </row>
    <row r="2236" spans="6:7" x14ac:dyDescent="0.25">
      <c r="F2236" s="3"/>
      <c r="G2236" s="3"/>
    </row>
    <row r="2237" spans="6:7" x14ac:dyDescent="0.25">
      <c r="F2237" s="3"/>
      <c r="G2237" s="3"/>
    </row>
    <row r="2238" spans="6:7" x14ac:dyDescent="0.25">
      <c r="F2238" s="3"/>
      <c r="G2238" s="3"/>
    </row>
    <row r="2239" spans="6:7" x14ac:dyDescent="0.25">
      <c r="F2239" s="3"/>
      <c r="G2239" s="3"/>
    </row>
    <row r="2240" spans="6:7" x14ac:dyDescent="0.25">
      <c r="F2240" s="3"/>
      <c r="G2240" s="3"/>
    </row>
    <row r="2241" spans="6:7" x14ac:dyDescent="0.25">
      <c r="F2241" s="3"/>
      <c r="G2241" s="3"/>
    </row>
    <row r="2242" spans="6:7" x14ac:dyDescent="0.25">
      <c r="F2242" s="3"/>
      <c r="G2242" s="3"/>
    </row>
    <row r="2243" spans="6:7" x14ac:dyDescent="0.25">
      <c r="F2243" s="3"/>
      <c r="G2243" s="3"/>
    </row>
    <row r="2244" spans="6:7" x14ac:dyDescent="0.25">
      <c r="F2244" s="3"/>
      <c r="G2244" s="3"/>
    </row>
    <row r="2245" spans="6:7" x14ac:dyDescent="0.25">
      <c r="F2245" s="3"/>
      <c r="G2245" s="3"/>
    </row>
    <row r="2246" spans="6:7" x14ac:dyDescent="0.25">
      <c r="F2246" s="3"/>
      <c r="G2246" s="3"/>
    </row>
    <row r="2247" spans="6:7" x14ac:dyDescent="0.25">
      <c r="F2247" s="3"/>
      <c r="G2247" s="3"/>
    </row>
    <row r="2248" spans="6:7" x14ac:dyDescent="0.25">
      <c r="F2248" s="3"/>
      <c r="G2248" s="3"/>
    </row>
    <row r="2249" spans="6:7" x14ac:dyDescent="0.25">
      <c r="F2249" s="3"/>
      <c r="G2249" s="3"/>
    </row>
    <row r="2250" spans="6:7" x14ac:dyDescent="0.25">
      <c r="F2250" s="3"/>
      <c r="G2250" s="3"/>
    </row>
    <row r="2251" spans="6:7" x14ac:dyDescent="0.25">
      <c r="F2251" s="3"/>
      <c r="G2251" s="3"/>
    </row>
    <row r="2252" spans="6:7" x14ac:dyDescent="0.25">
      <c r="F2252" s="3"/>
      <c r="G2252" s="3"/>
    </row>
    <row r="2253" spans="6:7" x14ac:dyDescent="0.25">
      <c r="F2253" s="3"/>
      <c r="G2253" s="3"/>
    </row>
    <row r="2254" spans="6:7" x14ac:dyDescent="0.25">
      <c r="F2254" s="3"/>
      <c r="G2254" s="3"/>
    </row>
    <row r="2255" spans="6:7" x14ac:dyDescent="0.25">
      <c r="F2255" s="3"/>
      <c r="G2255" s="3"/>
    </row>
    <row r="2256" spans="6:7" x14ac:dyDescent="0.25">
      <c r="F2256" s="3"/>
      <c r="G2256" s="3"/>
    </row>
    <row r="2257" spans="6:7" x14ac:dyDescent="0.25">
      <c r="F2257" s="3"/>
      <c r="G2257" s="3"/>
    </row>
    <row r="2258" spans="6:7" x14ac:dyDescent="0.25">
      <c r="F2258" s="3"/>
      <c r="G2258" s="3"/>
    </row>
    <row r="2259" spans="6:7" x14ac:dyDescent="0.25">
      <c r="F2259" s="3"/>
      <c r="G2259" s="3"/>
    </row>
    <row r="2260" spans="6:7" x14ac:dyDescent="0.25">
      <c r="F2260" s="3"/>
      <c r="G2260" s="3"/>
    </row>
    <row r="2261" spans="6:7" x14ac:dyDescent="0.25">
      <c r="F2261" s="3"/>
      <c r="G2261" s="3"/>
    </row>
    <row r="2262" spans="6:7" x14ac:dyDescent="0.25">
      <c r="F2262" s="3"/>
      <c r="G2262" s="3"/>
    </row>
    <row r="2263" spans="6:7" x14ac:dyDescent="0.25">
      <c r="F2263" s="3"/>
      <c r="G2263" s="3"/>
    </row>
    <row r="2264" spans="6:7" x14ac:dyDescent="0.25">
      <c r="F2264" s="3"/>
      <c r="G2264" s="3"/>
    </row>
    <row r="2265" spans="6:7" x14ac:dyDescent="0.25">
      <c r="F2265" s="3"/>
      <c r="G2265" s="3"/>
    </row>
    <row r="2266" spans="6:7" x14ac:dyDescent="0.25">
      <c r="F2266" s="3"/>
      <c r="G2266" s="3"/>
    </row>
    <row r="2267" spans="6:7" x14ac:dyDescent="0.25">
      <c r="F2267" s="3"/>
      <c r="G2267" s="3"/>
    </row>
    <row r="2268" spans="6:7" x14ac:dyDescent="0.25">
      <c r="F2268" s="3"/>
      <c r="G2268" s="3"/>
    </row>
    <row r="2269" spans="6:7" x14ac:dyDescent="0.25">
      <c r="F2269" s="3"/>
      <c r="G2269" s="3"/>
    </row>
    <row r="2270" spans="6:7" x14ac:dyDescent="0.25">
      <c r="F2270" s="3"/>
      <c r="G2270" s="3"/>
    </row>
    <row r="2271" spans="6:7" x14ac:dyDescent="0.25">
      <c r="F2271" s="3"/>
      <c r="G2271" s="3"/>
    </row>
    <row r="2272" spans="6:7" x14ac:dyDescent="0.25">
      <c r="F2272" s="3"/>
      <c r="G2272" s="3"/>
    </row>
    <row r="2273" spans="6:7" x14ac:dyDescent="0.25">
      <c r="F2273" s="3"/>
      <c r="G2273" s="3"/>
    </row>
    <row r="2274" spans="6:7" x14ac:dyDescent="0.25">
      <c r="F2274" s="3"/>
      <c r="G2274" s="3"/>
    </row>
    <row r="2275" spans="6:7" x14ac:dyDescent="0.25">
      <c r="F2275" s="3"/>
      <c r="G2275" s="3"/>
    </row>
    <row r="2276" spans="6:7" x14ac:dyDescent="0.25">
      <c r="F2276" s="3"/>
      <c r="G2276" s="3"/>
    </row>
    <row r="2277" spans="6:7" x14ac:dyDescent="0.25">
      <c r="F2277" s="3"/>
      <c r="G2277" s="3"/>
    </row>
    <row r="2278" spans="6:7" x14ac:dyDescent="0.25">
      <c r="F2278" s="3"/>
      <c r="G2278" s="3"/>
    </row>
    <row r="2279" spans="6:7" x14ac:dyDescent="0.25">
      <c r="F2279" s="3"/>
      <c r="G2279" s="3"/>
    </row>
    <row r="2280" spans="6:7" x14ac:dyDescent="0.25">
      <c r="F2280" s="3"/>
      <c r="G2280" s="3"/>
    </row>
    <row r="2281" spans="6:7" x14ac:dyDescent="0.25">
      <c r="F2281" s="3"/>
      <c r="G2281" s="3"/>
    </row>
    <row r="2282" spans="6:7" x14ac:dyDescent="0.25">
      <c r="F2282" s="3"/>
      <c r="G2282" s="3"/>
    </row>
    <row r="2283" spans="6:7" x14ac:dyDescent="0.25">
      <c r="F2283" s="3"/>
      <c r="G2283" s="3"/>
    </row>
    <row r="2284" spans="6:7" x14ac:dyDescent="0.25">
      <c r="F2284" s="3"/>
      <c r="G2284" s="3"/>
    </row>
    <row r="2285" spans="6:7" x14ac:dyDescent="0.25">
      <c r="F2285" s="3"/>
      <c r="G2285" s="3"/>
    </row>
    <row r="2286" spans="6:7" x14ac:dyDescent="0.25">
      <c r="F2286" s="3"/>
      <c r="G2286" s="3"/>
    </row>
    <row r="2287" spans="6:7" x14ac:dyDescent="0.25">
      <c r="F2287" s="3"/>
      <c r="G2287" s="3"/>
    </row>
    <row r="2288" spans="6:7" x14ac:dyDescent="0.25">
      <c r="F2288" s="3"/>
      <c r="G2288" s="3"/>
    </row>
    <row r="2289" spans="6:7" x14ac:dyDescent="0.25">
      <c r="F2289" s="3"/>
      <c r="G2289" s="3"/>
    </row>
    <row r="2290" spans="6:7" x14ac:dyDescent="0.25">
      <c r="F2290" s="3"/>
      <c r="G2290" s="3"/>
    </row>
    <row r="2291" spans="6:7" x14ac:dyDescent="0.25">
      <c r="F2291" s="3"/>
      <c r="G2291" s="3"/>
    </row>
    <row r="2292" spans="6:7" x14ac:dyDescent="0.25">
      <c r="F2292" s="3"/>
      <c r="G2292" s="3"/>
    </row>
    <row r="2293" spans="6:7" x14ac:dyDescent="0.25">
      <c r="F2293" s="3"/>
      <c r="G2293" s="3"/>
    </row>
    <row r="2294" spans="6:7" x14ac:dyDescent="0.25">
      <c r="F2294" s="3"/>
      <c r="G2294" s="3"/>
    </row>
    <row r="2295" spans="6:7" x14ac:dyDescent="0.25">
      <c r="F2295" s="3"/>
      <c r="G2295" s="3"/>
    </row>
    <row r="2296" spans="6:7" x14ac:dyDescent="0.25">
      <c r="F2296" s="3"/>
      <c r="G2296" s="3"/>
    </row>
    <row r="2297" spans="6:7" x14ac:dyDescent="0.25">
      <c r="F2297" s="3"/>
      <c r="G2297" s="3"/>
    </row>
    <row r="2298" spans="6:7" x14ac:dyDescent="0.25">
      <c r="F2298" s="3"/>
      <c r="G2298" s="3"/>
    </row>
    <row r="2299" spans="6:7" x14ac:dyDescent="0.25">
      <c r="F2299" s="3"/>
      <c r="G2299" s="3"/>
    </row>
    <row r="2300" spans="6:7" x14ac:dyDescent="0.25">
      <c r="F2300" s="3"/>
      <c r="G2300" s="3"/>
    </row>
    <row r="2301" spans="6:7" x14ac:dyDescent="0.25">
      <c r="F2301" s="3"/>
      <c r="G2301" s="3"/>
    </row>
    <row r="2302" spans="6:7" x14ac:dyDescent="0.25">
      <c r="F2302" s="3"/>
      <c r="G2302" s="3"/>
    </row>
    <row r="2303" spans="6:7" x14ac:dyDescent="0.25">
      <c r="F2303" s="3"/>
      <c r="G2303" s="3"/>
    </row>
    <row r="2304" spans="6:7" x14ac:dyDescent="0.25">
      <c r="F2304" s="3"/>
      <c r="G2304" s="3"/>
    </row>
    <row r="2305" spans="6:7" x14ac:dyDescent="0.25">
      <c r="F2305" s="3"/>
      <c r="G2305" s="3"/>
    </row>
    <row r="2306" spans="6:7" x14ac:dyDescent="0.25">
      <c r="F2306" s="3"/>
      <c r="G2306" s="3"/>
    </row>
    <row r="2307" spans="6:7" x14ac:dyDescent="0.25">
      <c r="F2307" s="3"/>
      <c r="G2307" s="3"/>
    </row>
    <row r="2308" spans="6:7" x14ac:dyDescent="0.25">
      <c r="F2308" s="3"/>
      <c r="G2308" s="3"/>
    </row>
    <row r="2309" spans="6:7" x14ac:dyDescent="0.25">
      <c r="F2309" s="3"/>
      <c r="G2309" s="3"/>
    </row>
    <row r="2310" spans="6:7" x14ac:dyDescent="0.25">
      <c r="F2310" s="3"/>
      <c r="G2310" s="3"/>
    </row>
    <row r="2311" spans="6:7" x14ac:dyDescent="0.25">
      <c r="F2311" s="3"/>
      <c r="G2311" s="3"/>
    </row>
    <row r="2312" spans="6:7" x14ac:dyDescent="0.25">
      <c r="F2312" s="3"/>
      <c r="G2312" s="3"/>
    </row>
    <row r="2313" spans="6:7" x14ac:dyDescent="0.25">
      <c r="F2313" s="3"/>
      <c r="G2313" s="3"/>
    </row>
    <row r="2314" spans="6:7" x14ac:dyDescent="0.25">
      <c r="F2314" s="3"/>
      <c r="G2314" s="3"/>
    </row>
    <row r="2315" spans="6:7" x14ac:dyDescent="0.25">
      <c r="F2315" s="3"/>
      <c r="G2315" s="3"/>
    </row>
    <row r="2316" spans="6:7" x14ac:dyDescent="0.25">
      <c r="F2316" s="3"/>
      <c r="G2316" s="3"/>
    </row>
    <row r="2317" spans="6:7" x14ac:dyDescent="0.25">
      <c r="F2317" s="3"/>
      <c r="G2317" s="3"/>
    </row>
    <row r="2318" spans="6:7" x14ac:dyDescent="0.25">
      <c r="F2318" s="3"/>
      <c r="G2318" s="3"/>
    </row>
    <row r="2319" spans="6:7" x14ac:dyDescent="0.25">
      <c r="F2319" s="3"/>
      <c r="G2319" s="3"/>
    </row>
    <row r="2320" spans="6:7" x14ac:dyDescent="0.25">
      <c r="F2320" s="3"/>
      <c r="G2320" s="3"/>
    </row>
    <row r="2321" spans="6:7" x14ac:dyDescent="0.25">
      <c r="F2321" s="3"/>
      <c r="G2321" s="3"/>
    </row>
    <row r="2322" spans="6:7" x14ac:dyDescent="0.25">
      <c r="F2322" s="3"/>
      <c r="G2322" s="3"/>
    </row>
    <row r="2323" spans="6:7" x14ac:dyDescent="0.25">
      <c r="F2323" s="3"/>
      <c r="G2323" s="3"/>
    </row>
    <row r="2324" spans="6:7" x14ac:dyDescent="0.25">
      <c r="F2324" s="3"/>
      <c r="G2324" s="3"/>
    </row>
    <row r="2325" spans="6:7" x14ac:dyDescent="0.25">
      <c r="F2325" s="3"/>
      <c r="G2325" s="3"/>
    </row>
    <row r="2326" spans="6:7" x14ac:dyDescent="0.25">
      <c r="F2326" s="3"/>
      <c r="G2326" s="3"/>
    </row>
    <row r="2327" spans="6:7" x14ac:dyDescent="0.25">
      <c r="F2327" s="3"/>
      <c r="G2327" s="3"/>
    </row>
    <row r="2328" spans="6:7" x14ac:dyDescent="0.25">
      <c r="F2328" s="3"/>
      <c r="G2328" s="3"/>
    </row>
    <row r="2329" spans="6:7" x14ac:dyDescent="0.25">
      <c r="F2329" s="3"/>
      <c r="G2329" s="3"/>
    </row>
    <row r="2330" spans="6:7" x14ac:dyDescent="0.25">
      <c r="F2330" s="3"/>
      <c r="G2330" s="3"/>
    </row>
    <row r="2331" spans="6:7" x14ac:dyDescent="0.25">
      <c r="F2331" s="3"/>
      <c r="G2331" s="3"/>
    </row>
    <row r="2332" spans="6:7" x14ac:dyDescent="0.25">
      <c r="F2332" s="3"/>
      <c r="G2332" s="3"/>
    </row>
    <row r="2333" spans="6:7" x14ac:dyDescent="0.25">
      <c r="F2333" s="3"/>
      <c r="G2333" s="3"/>
    </row>
    <row r="2334" spans="6:7" x14ac:dyDescent="0.25">
      <c r="F2334" s="3"/>
      <c r="G2334" s="3"/>
    </row>
    <row r="2335" spans="6:7" x14ac:dyDescent="0.25">
      <c r="F2335" s="3"/>
      <c r="G2335" s="3"/>
    </row>
    <row r="2336" spans="6:7" x14ac:dyDescent="0.25">
      <c r="F2336" s="3"/>
      <c r="G2336" s="3"/>
    </row>
    <row r="2337" spans="6:7" x14ac:dyDescent="0.25">
      <c r="F2337" s="3"/>
      <c r="G2337" s="3"/>
    </row>
    <row r="2338" spans="6:7" x14ac:dyDescent="0.25">
      <c r="F2338" s="3"/>
      <c r="G2338" s="3"/>
    </row>
    <row r="2339" spans="6:7" x14ac:dyDescent="0.25">
      <c r="F2339" s="3"/>
      <c r="G2339" s="3"/>
    </row>
    <row r="2340" spans="6:7" x14ac:dyDescent="0.25">
      <c r="F2340" s="3"/>
      <c r="G2340" s="3"/>
    </row>
    <row r="2341" spans="6:7" x14ac:dyDescent="0.25">
      <c r="F2341" s="3"/>
      <c r="G2341" s="3"/>
    </row>
    <row r="2342" spans="6:7" x14ac:dyDescent="0.25">
      <c r="F2342" s="3"/>
      <c r="G2342" s="3"/>
    </row>
    <row r="2343" spans="6:7" x14ac:dyDescent="0.25">
      <c r="F2343" s="3"/>
      <c r="G2343" s="3"/>
    </row>
    <row r="2344" spans="6:7" x14ac:dyDescent="0.25">
      <c r="F2344" s="3"/>
      <c r="G2344" s="3"/>
    </row>
    <row r="2345" spans="6:7" x14ac:dyDescent="0.25">
      <c r="F2345" s="3"/>
      <c r="G2345" s="3"/>
    </row>
    <row r="2346" spans="6:7" x14ac:dyDescent="0.25">
      <c r="F2346" s="3"/>
      <c r="G2346" s="3"/>
    </row>
    <row r="2347" spans="6:7" x14ac:dyDescent="0.25">
      <c r="F2347" s="3"/>
      <c r="G2347" s="3"/>
    </row>
    <row r="2348" spans="6:7" x14ac:dyDescent="0.25">
      <c r="F2348" s="3"/>
      <c r="G2348" s="3"/>
    </row>
    <row r="2349" spans="6:7" x14ac:dyDescent="0.25">
      <c r="F2349" s="3"/>
      <c r="G2349" s="3"/>
    </row>
    <row r="2350" spans="6:7" x14ac:dyDescent="0.25">
      <c r="F2350" s="3"/>
      <c r="G2350" s="3"/>
    </row>
    <row r="2351" spans="6:7" x14ac:dyDescent="0.25">
      <c r="F2351" s="3"/>
      <c r="G2351" s="3"/>
    </row>
    <row r="2352" spans="6:7" x14ac:dyDescent="0.25">
      <c r="F2352" s="3"/>
      <c r="G2352" s="3"/>
    </row>
    <row r="2353" spans="6:7" x14ac:dyDescent="0.25">
      <c r="F2353" s="3"/>
      <c r="G2353" s="3"/>
    </row>
    <row r="2354" spans="6:7" x14ac:dyDescent="0.25">
      <c r="F2354" s="3"/>
      <c r="G2354" s="3"/>
    </row>
    <row r="2355" spans="6:7" x14ac:dyDescent="0.25">
      <c r="F2355" s="3"/>
      <c r="G2355" s="3"/>
    </row>
    <row r="2356" spans="6:7" x14ac:dyDescent="0.25">
      <c r="F2356" s="3"/>
      <c r="G2356" s="3"/>
    </row>
    <row r="2357" spans="6:7" x14ac:dyDescent="0.25">
      <c r="F2357" s="3"/>
      <c r="G2357" s="3"/>
    </row>
    <row r="2358" spans="6:7" x14ac:dyDescent="0.25">
      <c r="F2358" s="3"/>
      <c r="G2358" s="3"/>
    </row>
    <row r="2359" spans="6:7" x14ac:dyDescent="0.25">
      <c r="F2359" s="3"/>
      <c r="G2359" s="3"/>
    </row>
    <row r="2360" spans="6:7" x14ac:dyDescent="0.25">
      <c r="F2360" s="3"/>
      <c r="G2360" s="3"/>
    </row>
    <row r="2361" spans="6:7" x14ac:dyDescent="0.25">
      <c r="F2361" s="3"/>
      <c r="G2361" s="3"/>
    </row>
    <row r="2362" spans="6:7" x14ac:dyDescent="0.25">
      <c r="F2362" s="3"/>
      <c r="G2362" s="3"/>
    </row>
    <row r="2363" spans="6:7" x14ac:dyDescent="0.25">
      <c r="F2363" s="3"/>
      <c r="G2363" s="3"/>
    </row>
    <row r="2364" spans="6:7" x14ac:dyDescent="0.25">
      <c r="F2364" s="3"/>
      <c r="G2364" s="3"/>
    </row>
    <row r="2365" spans="6:7" x14ac:dyDescent="0.25">
      <c r="F2365" s="3"/>
      <c r="G2365" s="3"/>
    </row>
    <row r="2366" spans="6:7" x14ac:dyDescent="0.25">
      <c r="F2366" s="3"/>
      <c r="G2366" s="3"/>
    </row>
    <row r="2367" spans="6:7" x14ac:dyDescent="0.25">
      <c r="F2367" s="3"/>
      <c r="G2367" s="3"/>
    </row>
    <row r="2368" spans="6:7" x14ac:dyDescent="0.25">
      <c r="F2368" s="3"/>
      <c r="G2368" s="3"/>
    </row>
    <row r="2369" spans="6:7" x14ac:dyDescent="0.25">
      <c r="F2369" s="3"/>
      <c r="G2369" s="3"/>
    </row>
    <row r="2370" spans="6:7" x14ac:dyDescent="0.25">
      <c r="F2370" s="3"/>
      <c r="G2370" s="3"/>
    </row>
    <row r="2371" spans="6:7" x14ac:dyDescent="0.25">
      <c r="F2371" s="3"/>
      <c r="G2371" s="3"/>
    </row>
    <row r="2372" spans="6:7" x14ac:dyDescent="0.25">
      <c r="F2372" s="3"/>
      <c r="G2372" s="3"/>
    </row>
    <row r="2373" spans="6:7" x14ac:dyDescent="0.25">
      <c r="F2373" s="3"/>
      <c r="G2373" s="3"/>
    </row>
    <row r="2374" spans="6:7" x14ac:dyDescent="0.25">
      <c r="F2374" s="3"/>
      <c r="G2374" s="3"/>
    </row>
    <row r="2375" spans="6:7" x14ac:dyDescent="0.25">
      <c r="F2375" s="3"/>
      <c r="G2375" s="3"/>
    </row>
    <row r="2376" spans="6:7" x14ac:dyDescent="0.25">
      <c r="F2376" s="3"/>
      <c r="G2376" s="3"/>
    </row>
    <row r="2377" spans="6:7" x14ac:dyDescent="0.25">
      <c r="F2377" s="3"/>
      <c r="G2377" s="3"/>
    </row>
    <row r="2378" spans="6:7" x14ac:dyDescent="0.25">
      <c r="F2378" s="3"/>
      <c r="G2378" s="3"/>
    </row>
    <row r="2379" spans="6:7" x14ac:dyDescent="0.25">
      <c r="F2379" s="3"/>
      <c r="G2379" s="3"/>
    </row>
    <row r="2380" spans="6:7" x14ac:dyDescent="0.25">
      <c r="F2380" s="3"/>
      <c r="G2380" s="3"/>
    </row>
    <row r="2381" spans="6:7" x14ac:dyDescent="0.25">
      <c r="F2381" s="3"/>
      <c r="G2381" s="3"/>
    </row>
    <row r="2382" spans="6:7" x14ac:dyDescent="0.25">
      <c r="F2382" s="3"/>
      <c r="G2382" s="3"/>
    </row>
    <row r="2383" spans="6:7" x14ac:dyDescent="0.25">
      <c r="F2383" s="3"/>
      <c r="G2383" s="3"/>
    </row>
    <row r="2384" spans="6:7" x14ac:dyDescent="0.25">
      <c r="F2384" s="3"/>
      <c r="G2384" s="3"/>
    </row>
    <row r="2385" spans="6:7" x14ac:dyDescent="0.25">
      <c r="F2385" s="3"/>
      <c r="G2385" s="3"/>
    </row>
    <row r="2386" spans="6:7" x14ac:dyDescent="0.25">
      <c r="F2386" s="3"/>
      <c r="G2386" s="3"/>
    </row>
    <row r="2387" spans="6:7" x14ac:dyDescent="0.25">
      <c r="F2387" s="3"/>
      <c r="G2387" s="3"/>
    </row>
    <row r="2388" spans="6:7" x14ac:dyDescent="0.25">
      <c r="F2388" s="3"/>
      <c r="G2388" s="3"/>
    </row>
    <row r="2389" spans="6:7" x14ac:dyDescent="0.25">
      <c r="F2389" s="3"/>
      <c r="G2389" s="3"/>
    </row>
    <row r="2390" spans="6:7" x14ac:dyDescent="0.25">
      <c r="F2390" s="3"/>
      <c r="G2390" s="3"/>
    </row>
    <row r="2391" spans="6:7" x14ac:dyDescent="0.25">
      <c r="F2391" s="3"/>
      <c r="G2391" s="3"/>
    </row>
    <row r="2392" spans="6:7" x14ac:dyDescent="0.25">
      <c r="F2392" s="3"/>
      <c r="G2392" s="3"/>
    </row>
    <row r="2393" spans="6:7" x14ac:dyDescent="0.25">
      <c r="F2393" s="3"/>
      <c r="G2393" s="3"/>
    </row>
    <row r="2394" spans="6:7" x14ac:dyDescent="0.25">
      <c r="F2394" s="3"/>
      <c r="G2394" s="3"/>
    </row>
    <row r="2395" spans="6:7" x14ac:dyDescent="0.25">
      <c r="F2395" s="3"/>
      <c r="G2395" s="3"/>
    </row>
    <row r="2396" spans="6:7" x14ac:dyDescent="0.25">
      <c r="F2396" s="3"/>
      <c r="G2396" s="3"/>
    </row>
    <row r="2397" spans="6:7" x14ac:dyDescent="0.25">
      <c r="F2397" s="3"/>
      <c r="G2397" s="3"/>
    </row>
    <row r="2398" spans="6:7" x14ac:dyDescent="0.25">
      <c r="F2398" s="3"/>
      <c r="G2398" s="3"/>
    </row>
    <row r="2399" spans="6:7" x14ac:dyDescent="0.25">
      <c r="F2399" s="3"/>
      <c r="G2399" s="3"/>
    </row>
    <row r="2400" spans="6:7" x14ac:dyDescent="0.25">
      <c r="F2400" s="3"/>
      <c r="G2400" s="3"/>
    </row>
    <row r="2401" spans="6:7" x14ac:dyDescent="0.25">
      <c r="F2401" s="3"/>
      <c r="G2401" s="3"/>
    </row>
    <row r="2402" spans="6:7" x14ac:dyDescent="0.25">
      <c r="F2402" s="3"/>
      <c r="G2402" s="3"/>
    </row>
    <row r="2403" spans="6:7" x14ac:dyDescent="0.25">
      <c r="F2403" s="3"/>
      <c r="G2403" s="3"/>
    </row>
    <row r="2404" spans="6:7" x14ac:dyDescent="0.25">
      <c r="F2404" s="3"/>
      <c r="G2404" s="3"/>
    </row>
    <row r="2405" spans="6:7" x14ac:dyDescent="0.25">
      <c r="F2405" s="3"/>
      <c r="G2405" s="3"/>
    </row>
    <row r="2406" spans="6:7" x14ac:dyDescent="0.25">
      <c r="F2406" s="3"/>
      <c r="G2406" s="3"/>
    </row>
    <row r="2407" spans="6:7" x14ac:dyDescent="0.25">
      <c r="F2407" s="3"/>
      <c r="G2407" s="3"/>
    </row>
    <row r="2408" spans="6:7" x14ac:dyDescent="0.25">
      <c r="F2408" s="3"/>
      <c r="G2408" s="3"/>
    </row>
    <row r="2409" spans="6:7" x14ac:dyDescent="0.25">
      <c r="F2409" s="3"/>
      <c r="G2409" s="3"/>
    </row>
    <row r="2410" spans="6:7" x14ac:dyDescent="0.25">
      <c r="F2410" s="3"/>
      <c r="G2410" s="3"/>
    </row>
    <row r="2411" spans="6:7" x14ac:dyDescent="0.25">
      <c r="F2411" s="3"/>
      <c r="G2411" s="3"/>
    </row>
    <row r="2412" spans="6:7" x14ac:dyDescent="0.25">
      <c r="F2412" s="3"/>
      <c r="G2412" s="3"/>
    </row>
    <row r="2413" spans="6:7" x14ac:dyDescent="0.25">
      <c r="F2413" s="3"/>
      <c r="G2413" s="3"/>
    </row>
    <row r="2414" spans="6:7" x14ac:dyDescent="0.25">
      <c r="F2414" s="3"/>
      <c r="G2414" s="3"/>
    </row>
    <row r="2415" spans="6:7" x14ac:dyDescent="0.25">
      <c r="F2415" s="3"/>
      <c r="G2415" s="3"/>
    </row>
    <row r="2416" spans="6:7" x14ac:dyDescent="0.25">
      <c r="F2416" s="3"/>
      <c r="G2416" s="3"/>
    </row>
    <row r="2417" spans="6:7" x14ac:dyDescent="0.25">
      <c r="F2417" s="3"/>
      <c r="G2417" s="3"/>
    </row>
    <row r="2418" spans="6:7" x14ac:dyDescent="0.25">
      <c r="F2418" s="3"/>
      <c r="G2418" s="3"/>
    </row>
    <row r="2419" spans="6:7" x14ac:dyDescent="0.25">
      <c r="F2419" s="3"/>
      <c r="G2419" s="3"/>
    </row>
    <row r="2420" spans="6:7" x14ac:dyDescent="0.25">
      <c r="F2420" s="3"/>
      <c r="G2420" s="3"/>
    </row>
    <row r="2421" spans="6:7" x14ac:dyDescent="0.25">
      <c r="F2421" s="3"/>
      <c r="G2421" s="3"/>
    </row>
    <row r="2422" spans="6:7" x14ac:dyDescent="0.25">
      <c r="F2422" s="3"/>
      <c r="G2422" s="3"/>
    </row>
    <row r="2423" spans="6:7" x14ac:dyDescent="0.25">
      <c r="F2423" s="3"/>
      <c r="G2423" s="3"/>
    </row>
    <row r="2424" spans="6:7" x14ac:dyDescent="0.25">
      <c r="F2424" s="3"/>
      <c r="G2424" s="3"/>
    </row>
    <row r="2425" spans="6:7" x14ac:dyDescent="0.25">
      <c r="F2425" s="3"/>
      <c r="G2425" s="3"/>
    </row>
    <row r="2426" spans="6:7" x14ac:dyDescent="0.25">
      <c r="F2426" s="3"/>
      <c r="G2426" s="3"/>
    </row>
    <row r="2427" spans="6:7" x14ac:dyDescent="0.25">
      <c r="F2427" s="3"/>
      <c r="G2427" s="3"/>
    </row>
    <row r="2428" spans="6:7" x14ac:dyDescent="0.25">
      <c r="F2428" s="3"/>
      <c r="G2428" s="3"/>
    </row>
    <row r="2429" spans="6:7" x14ac:dyDescent="0.25">
      <c r="F2429" s="3"/>
      <c r="G2429" s="3"/>
    </row>
    <row r="2430" spans="6:7" x14ac:dyDescent="0.25">
      <c r="F2430" s="3"/>
      <c r="G2430" s="3"/>
    </row>
    <row r="2431" spans="6:7" x14ac:dyDescent="0.25">
      <c r="F2431" s="3"/>
      <c r="G2431" s="3"/>
    </row>
    <row r="2432" spans="6:7" x14ac:dyDescent="0.25">
      <c r="F2432" s="3"/>
      <c r="G2432" s="3"/>
    </row>
    <row r="2433" spans="6:7" x14ac:dyDescent="0.25">
      <c r="F2433" s="3"/>
      <c r="G2433" s="3"/>
    </row>
    <row r="2434" spans="6:7" x14ac:dyDescent="0.25">
      <c r="F2434" s="3"/>
      <c r="G2434" s="3"/>
    </row>
    <row r="2435" spans="6:7" x14ac:dyDescent="0.25">
      <c r="F2435" s="3"/>
      <c r="G2435" s="3"/>
    </row>
    <row r="2436" spans="6:7" x14ac:dyDescent="0.25">
      <c r="F2436" s="3"/>
      <c r="G2436" s="3"/>
    </row>
    <row r="2437" spans="6:7" x14ac:dyDescent="0.25">
      <c r="F2437" s="3"/>
      <c r="G2437" s="3"/>
    </row>
    <row r="2438" spans="6:7" x14ac:dyDescent="0.25">
      <c r="F2438" s="3"/>
      <c r="G2438" s="3"/>
    </row>
    <row r="2439" spans="6:7" x14ac:dyDescent="0.25">
      <c r="F2439" s="3"/>
      <c r="G2439" s="3"/>
    </row>
    <row r="2440" spans="6:7" x14ac:dyDescent="0.25">
      <c r="F2440" s="3"/>
      <c r="G2440" s="3"/>
    </row>
    <row r="2441" spans="6:7" x14ac:dyDescent="0.25">
      <c r="F2441" s="3"/>
      <c r="G2441" s="3"/>
    </row>
    <row r="2442" spans="6:7" x14ac:dyDescent="0.25">
      <c r="F2442" s="3"/>
      <c r="G2442" s="3"/>
    </row>
    <row r="2443" spans="6:7" x14ac:dyDescent="0.25">
      <c r="F2443" s="3"/>
      <c r="G2443" s="3"/>
    </row>
    <row r="2444" spans="6:7" x14ac:dyDescent="0.25">
      <c r="F2444" s="3"/>
      <c r="G2444" s="3"/>
    </row>
    <row r="2445" spans="6:7" x14ac:dyDescent="0.25">
      <c r="F2445" s="3"/>
      <c r="G2445" s="3"/>
    </row>
    <row r="2446" spans="6:7" x14ac:dyDescent="0.25">
      <c r="F2446" s="3"/>
      <c r="G2446" s="3"/>
    </row>
    <row r="2447" spans="6:7" x14ac:dyDescent="0.25">
      <c r="F2447" s="3"/>
      <c r="G2447" s="3"/>
    </row>
    <row r="2448" spans="6:7" x14ac:dyDescent="0.25">
      <c r="F2448" s="3"/>
      <c r="G2448" s="3"/>
    </row>
    <row r="2449" spans="6:7" x14ac:dyDescent="0.25">
      <c r="F2449" s="3"/>
      <c r="G2449" s="3"/>
    </row>
    <row r="2450" spans="6:7" x14ac:dyDescent="0.25">
      <c r="F2450" s="3"/>
      <c r="G2450" s="3"/>
    </row>
    <row r="2451" spans="6:7" x14ac:dyDescent="0.25">
      <c r="F2451" s="3"/>
      <c r="G2451" s="3"/>
    </row>
    <row r="2452" spans="6:7" x14ac:dyDescent="0.25">
      <c r="F2452" s="3"/>
      <c r="G2452" s="3"/>
    </row>
    <row r="2453" spans="6:7" x14ac:dyDescent="0.25">
      <c r="F2453" s="3"/>
      <c r="G2453" s="3"/>
    </row>
    <row r="2454" spans="6:7" x14ac:dyDescent="0.25">
      <c r="F2454" s="3"/>
      <c r="G2454" s="3"/>
    </row>
    <row r="2455" spans="6:7" x14ac:dyDescent="0.25">
      <c r="F2455" s="3"/>
      <c r="G2455" s="3"/>
    </row>
    <row r="2456" spans="6:7" x14ac:dyDescent="0.25">
      <c r="F2456" s="3"/>
      <c r="G2456" s="3"/>
    </row>
    <row r="2457" spans="6:7" x14ac:dyDescent="0.25">
      <c r="F2457" s="3"/>
      <c r="G2457" s="3"/>
    </row>
    <row r="2458" spans="6:7" x14ac:dyDescent="0.25">
      <c r="F2458" s="3"/>
      <c r="G2458" s="3"/>
    </row>
    <row r="2459" spans="6:7" x14ac:dyDescent="0.25">
      <c r="F2459" s="3"/>
      <c r="G2459" s="3"/>
    </row>
    <row r="2460" spans="6:7" x14ac:dyDescent="0.25">
      <c r="F2460" s="3"/>
      <c r="G2460" s="3"/>
    </row>
    <row r="2461" spans="6:7" x14ac:dyDescent="0.25">
      <c r="F2461" s="3"/>
      <c r="G2461" s="3"/>
    </row>
    <row r="2462" spans="6:7" x14ac:dyDescent="0.25">
      <c r="F2462" s="3"/>
      <c r="G2462" s="3"/>
    </row>
    <row r="2463" spans="6:7" x14ac:dyDescent="0.25">
      <c r="F2463" s="3"/>
      <c r="G2463" s="3"/>
    </row>
    <row r="2464" spans="6:7" x14ac:dyDescent="0.25">
      <c r="F2464" s="3"/>
      <c r="G2464" s="3"/>
    </row>
    <row r="2465" spans="6:7" x14ac:dyDescent="0.25">
      <c r="F2465" s="3"/>
      <c r="G2465" s="3"/>
    </row>
    <row r="2466" spans="6:7" x14ac:dyDescent="0.25">
      <c r="F2466" s="3"/>
      <c r="G2466" s="3"/>
    </row>
    <row r="2467" spans="6:7" x14ac:dyDescent="0.25">
      <c r="F2467" s="3"/>
      <c r="G2467" s="3"/>
    </row>
    <row r="2468" spans="6:7" x14ac:dyDescent="0.25">
      <c r="F2468" s="3"/>
      <c r="G2468" s="3"/>
    </row>
    <row r="2469" spans="6:7" x14ac:dyDescent="0.25">
      <c r="F2469" s="3"/>
      <c r="G2469" s="3"/>
    </row>
    <row r="2470" spans="6:7" x14ac:dyDescent="0.25">
      <c r="F2470" s="3"/>
      <c r="G2470" s="3"/>
    </row>
    <row r="2471" spans="6:7" x14ac:dyDescent="0.25">
      <c r="F2471" s="3"/>
      <c r="G2471" s="3"/>
    </row>
    <row r="2472" spans="6:7" x14ac:dyDescent="0.25">
      <c r="F2472" s="3"/>
      <c r="G2472" s="3"/>
    </row>
    <row r="2473" spans="6:7" x14ac:dyDescent="0.25">
      <c r="F2473" s="3"/>
      <c r="G2473" s="3"/>
    </row>
    <row r="2474" spans="6:7" x14ac:dyDescent="0.25">
      <c r="F2474" s="3"/>
      <c r="G2474" s="3"/>
    </row>
    <row r="2475" spans="6:7" x14ac:dyDescent="0.25">
      <c r="F2475" s="3"/>
      <c r="G2475" s="3"/>
    </row>
    <row r="2476" spans="6:7" x14ac:dyDescent="0.25">
      <c r="F2476" s="3"/>
      <c r="G2476" s="3"/>
    </row>
    <row r="2477" spans="6:7" x14ac:dyDescent="0.25">
      <c r="F2477" s="3"/>
      <c r="G2477" s="3"/>
    </row>
    <row r="2478" spans="6:7" x14ac:dyDescent="0.25">
      <c r="F2478" s="3"/>
      <c r="G2478" s="3"/>
    </row>
    <row r="2479" spans="6:7" x14ac:dyDescent="0.25">
      <c r="F2479" s="3"/>
      <c r="G2479" s="3"/>
    </row>
    <row r="2480" spans="6:7" x14ac:dyDescent="0.25">
      <c r="F2480" s="3"/>
      <c r="G2480" s="3"/>
    </row>
    <row r="2481" spans="6:7" x14ac:dyDescent="0.25">
      <c r="F2481" s="3"/>
      <c r="G2481" s="3"/>
    </row>
    <row r="2482" spans="6:7" x14ac:dyDescent="0.25">
      <c r="F2482" s="3"/>
      <c r="G2482" s="3"/>
    </row>
    <row r="2483" spans="6:7" x14ac:dyDescent="0.25">
      <c r="F2483" s="3"/>
      <c r="G2483" s="3"/>
    </row>
    <row r="2484" spans="6:7" x14ac:dyDescent="0.25">
      <c r="F2484" s="3"/>
      <c r="G2484" s="3"/>
    </row>
    <row r="2485" spans="6:7" x14ac:dyDescent="0.25">
      <c r="F2485" s="3"/>
      <c r="G2485" s="3"/>
    </row>
    <row r="2486" spans="6:7" x14ac:dyDescent="0.25">
      <c r="F2486" s="3"/>
      <c r="G2486" s="3"/>
    </row>
    <row r="2487" spans="6:7" x14ac:dyDescent="0.25">
      <c r="F2487" s="3"/>
      <c r="G2487" s="3"/>
    </row>
    <row r="2488" spans="6:7" x14ac:dyDescent="0.25">
      <c r="F2488" s="3"/>
      <c r="G2488" s="3"/>
    </row>
    <row r="2489" spans="6:7" x14ac:dyDescent="0.25">
      <c r="F2489" s="3"/>
      <c r="G2489" s="3"/>
    </row>
    <row r="2490" spans="6:7" x14ac:dyDescent="0.25">
      <c r="F2490" s="3"/>
      <c r="G2490" s="3"/>
    </row>
    <row r="2491" spans="6:7" x14ac:dyDescent="0.25">
      <c r="F2491" s="3"/>
      <c r="G2491" s="3"/>
    </row>
    <row r="2492" spans="6:7" x14ac:dyDescent="0.25">
      <c r="F2492" s="3"/>
      <c r="G2492" s="3"/>
    </row>
    <row r="2493" spans="6:7" x14ac:dyDescent="0.25">
      <c r="F2493" s="3"/>
      <c r="G2493" s="3"/>
    </row>
    <row r="2494" spans="6:7" x14ac:dyDescent="0.25">
      <c r="F2494" s="3"/>
      <c r="G2494" s="3"/>
    </row>
    <row r="2495" spans="6:7" x14ac:dyDescent="0.25">
      <c r="F2495" s="3"/>
      <c r="G2495" s="3"/>
    </row>
    <row r="2496" spans="6:7" x14ac:dyDescent="0.25">
      <c r="F2496" s="3"/>
      <c r="G2496" s="3"/>
    </row>
    <row r="2497" spans="6:7" x14ac:dyDescent="0.25">
      <c r="F2497" s="3"/>
      <c r="G2497" s="3"/>
    </row>
    <row r="2498" spans="6:7" x14ac:dyDescent="0.25">
      <c r="F2498" s="3"/>
      <c r="G2498" s="3"/>
    </row>
    <row r="2499" spans="6:7" x14ac:dyDescent="0.25">
      <c r="F2499" s="3"/>
      <c r="G2499" s="3"/>
    </row>
    <row r="2500" spans="6:7" x14ac:dyDescent="0.25">
      <c r="F2500" s="3"/>
      <c r="G2500" s="3"/>
    </row>
    <row r="2501" spans="6:7" x14ac:dyDescent="0.25">
      <c r="F2501" s="3"/>
      <c r="G2501" s="3"/>
    </row>
    <row r="2502" spans="6:7" x14ac:dyDescent="0.25">
      <c r="F2502" s="3"/>
      <c r="G2502" s="3"/>
    </row>
    <row r="2503" spans="6:7" x14ac:dyDescent="0.25">
      <c r="F2503" s="3"/>
      <c r="G2503" s="3"/>
    </row>
    <row r="2504" spans="6:7" x14ac:dyDescent="0.25">
      <c r="F2504" s="3"/>
      <c r="G2504" s="3"/>
    </row>
    <row r="2505" spans="6:7" x14ac:dyDescent="0.25">
      <c r="F2505" s="3"/>
      <c r="G2505" s="3"/>
    </row>
    <row r="2506" spans="6:7" x14ac:dyDescent="0.25">
      <c r="F2506" s="3"/>
      <c r="G2506" s="3"/>
    </row>
    <row r="2507" spans="6:7" x14ac:dyDescent="0.25">
      <c r="F2507" s="3"/>
      <c r="G2507" s="3"/>
    </row>
    <row r="2508" spans="6:7" x14ac:dyDescent="0.25">
      <c r="F2508" s="3"/>
      <c r="G2508" s="3"/>
    </row>
    <row r="2509" spans="6:7" x14ac:dyDescent="0.25">
      <c r="F2509" s="3"/>
      <c r="G2509" s="3"/>
    </row>
    <row r="2510" spans="6:7" x14ac:dyDescent="0.25">
      <c r="F2510" s="3"/>
      <c r="G2510" s="3"/>
    </row>
    <row r="2511" spans="6:7" x14ac:dyDescent="0.25">
      <c r="F2511" s="3"/>
      <c r="G2511" s="3"/>
    </row>
    <row r="2512" spans="6:7" x14ac:dyDescent="0.25">
      <c r="F2512" s="3"/>
      <c r="G2512" s="3"/>
    </row>
    <row r="2513" spans="6:7" x14ac:dyDescent="0.25">
      <c r="F2513" s="3"/>
      <c r="G2513" s="3"/>
    </row>
    <row r="2514" spans="6:7" x14ac:dyDescent="0.25">
      <c r="F2514" s="3"/>
      <c r="G2514" s="3"/>
    </row>
    <row r="2515" spans="6:7" x14ac:dyDescent="0.25">
      <c r="F2515" s="3"/>
      <c r="G2515" s="3"/>
    </row>
    <row r="2516" spans="6:7" x14ac:dyDescent="0.25">
      <c r="F2516" s="3"/>
      <c r="G2516" s="3"/>
    </row>
    <row r="2517" spans="6:7" x14ac:dyDescent="0.25">
      <c r="F2517" s="3"/>
      <c r="G2517" s="3"/>
    </row>
    <row r="2518" spans="6:7" x14ac:dyDescent="0.25">
      <c r="F2518" s="3"/>
      <c r="G2518" s="3"/>
    </row>
    <row r="2519" spans="6:7" x14ac:dyDescent="0.25">
      <c r="F2519" s="3"/>
      <c r="G2519" s="3"/>
    </row>
    <row r="2520" spans="6:7" x14ac:dyDescent="0.25">
      <c r="F2520" s="3"/>
      <c r="G2520" s="3"/>
    </row>
    <row r="2521" spans="6:7" x14ac:dyDescent="0.25">
      <c r="F2521" s="3"/>
      <c r="G2521" s="3"/>
    </row>
    <row r="2522" spans="6:7" x14ac:dyDescent="0.25">
      <c r="F2522" s="3"/>
      <c r="G2522" s="3"/>
    </row>
    <row r="2523" spans="6:7" x14ac:dyDescent="0.25">
      <c r="F2523" s="3"/>
      <c r="G2523" s="3"/>
    </row>
    <row r="2524" spans="6:7" x14ac:dyDescent="0.25">
      <c r="F2524" s="3"/>
      <c r="G2524" s="3"/>
    </row>
    <row r="2525" spans="6:7" x14ac:dyDescent="0.25">
      <c r="F2525" s="3"/>
      <c r="G2525" s="3"/>
    </row>
    <row r="2526" spans="6:7" x14ac:dyDescent="0.25">
      <c r="F2526" s="3"/>
      <c r="G2526" s="3"/>
    </row>
    <row r="2527" spans="6:7" x14ac:dyDescent="0.25">
      <c r="F2527" s="3"/>
      <c r="G2527" s="3"/>
    </row>
    <row r="2528" spans="6:7" x14ac:dyDescent="0.25">
      <c r="F2528" s="3"/>
      <c r="G2528" s="3"/>
    </row>
    <row r="2529" spans="6:7" x14ac:dyDescent="0.25">
      <c r="F2529" s="3"/>
      <c r="G2529" s="3"/>
    </row>
    <row r="2530" spans="6:7" x14ac:dyDescent="0.25">
      <c r="F2530" s="3"/>
      <c r="G2530" s="3"/>
    </row>
    <row r="2531" spans="6:7" x14ac:dyDescent="0.25">
      <c r="F2531" s="3"/>
      <c r="G2531" s="3"/>
    </row>
    <row r="2532" spans="6:7" x14ac:dyDescent="0.25">
      <c r="F2532" s="3"/>
      <c r="G2532" s="3"/>
    </row>
    <row r="2533" spans="6:7" x14ac:dyDescent="0.25">
      <c r="F2533" s="3"/>
      <c r="G2533" s="3"/>
    </row>
    <row r="2534" spans="6:7" x14ac:dyDescent="0.25">
      <c r="F2534" s="3"/>
      <c r="G2534" s="3"/>
    </row>
    <row r="2535" spans="6:7" x14ac:dyDescent="0.25">
      <c r="F2535" s="3"/>
      <c r="G2535" s="3"/>
    </row>
    <row r="2536" spans="6:7" x14ac:dyDescent="0.25">
      <c r="F2536" s="3"/>
      <c r="G2536" s="3"/>
    </row>
    <row r="2537" spans="6:7" x14ac:dyDescent="0.25">
      <c r="F2537" s="3"/>
      <c r="G2537" s="3"/>
    </row>
    <row r="2538" spans="6:7" x14ac:dyDescent="0.25">
      <c r="F2538" s="3"/>
      <c r="G2538" s="3"/>
    </row>
    <row r="2539" spans="6:7" x14ac:dyDescent="0.25">
      <c r="F2539" s="3"/>
      <c r="G2539" s="3"/>
    </row>
    <row r="2540" spans="6:7" x14ac:dyDescent="0.25">
      <c r="F2540" s="3"/>
      <c r="G2540" s="3"/>
    </row>
    <row r="2541" spans="6:7" x14ac:dyDescent="0.25">
      <c r="F2541" s="3"/>
      <c r="G2541" s="3"/>
    </row>
    <row r="2542" spans="6:7" x14ac:dyDescent="0.25">
      <c r="F2542" s="3"/>
      <c r="G2542" s="3"/>
    </row>
    <row r="2543" spans="6:7" x14ac:dyDescent="0.25">
      <c r="F2543" s="3"/>
      <c r="G2543" s="3"/>
    </row>
    <row r="2544" spans="6:7" x14ac:dyDescent="0.25">
      <c r="F2544" s="3"/>
      <c r="G2544" s="3"/>
    </row>
    <row r="2545" spans="6:7" x14ac:dyDescent="0.25">
      <c r="F2545" s="3"/>
      <c r="G2545" s="3"/>
    </row>
    <row r="2546" spans="6:7" x14ac:dyDescent="0.25">
      <c r="F2546" s="3"/>
      <c r="G2546" s="3"/>
    </row>
    <row r="2547" spans="6:7" x14ac:dyDescent="0.25">
      <c r="F2547" s="3"/>
      <c r="G2547" s="3"/>
    </row>
    <row r="2548" spans="6:7" x14ac:dyDescent="0.25">
      <c r="F2548" s="3"/>
      <c r="G2548" s="3"/>
    </row>
    <row r="2549" spans="6:7" x14ac:dyDescent="0.25">
      <c r="F2549" s="3"/>
      <c r="G2549" s="3"/>
    </row>
    <row r="2550" spans="6:7" x14ac:dyDescent="0.25">
      <c r="F2550" s="3"/>
      <c r="G2550" s="3"/>
    </row>
    <row r="2551" spans="6:7" x14ac:dyDescent="0.25">
      <c r="F2551" s="3"/>
      <c r="G2551" s="3"/>
    </row>
    <row r="2552" spans="6:7" x14ac:dyDescent="0.25">
      <c r="F2552" s="3"/>
      <c r="G2552" s="3"/>
    </row>
    <row r="2553" spans="6:7" x14ac:dyDescent="0.25">
      <c r="F2553" s="3"/>
      <c r="G2553" s="3"/>
    </row>
    <row r="2554" spans="6:7" x14ac:dyDescent="0.25">
      <c r="F2554" s="3"/>
      <c r="G2554" s="3"/>
    </row>
    <row r="2555" spans="6:7" x14ac:dyDescent="0.25">
      <c r="F2555" s="3"/>
      <c r="G2555" s="3"/>
    </row>
    <row r="2556" spans="6:7" x14ac:dyDescent="0.25">
      <c r="F2556" s="3"/>
      <c r="G2556" s="3"/>
    </row>
    <row r="2557" spans="6:7" x14ac:dyDescent="0.25">
      <c r="F2557" s="3"/>
      <c r="G2557" s="3"/>
    </row>
    <row r="2558" spans="6:7" x14ac:dyDescent="0.25">
      <c r="F2558" s="3"/>
      <c r="G2558" s="3"/>
    </row>
    <row r="2559" spans="6:7" x14ac:dyDescent="0.25">
      <c r="F2559" s="3"/>
      <c r="G2559" s="3"/>
    </row>
    <row r="2560" spans="6:7" x14ac:dyDescent="0.25">
      <c r="F2560" s="3"/>
      <c r="G2560" s="3"/>
    </row>
    <row r="2561" spans="6:7" x14ac:dyDescent="0.25">
      <c r="F2561" s="3"/>
      <c r="G2561" s="3"/>
    </row>
    <row r="2562" spans="6:7" x14ac:dyDescent="0.25">
      <c r="F2562" s="3"/>
      <c r="G2562" s="3"/>
    </row>
    <row r="2563" spans="6:7" x14ac:dyDescent="0.25">
      <c r="F2563" s="3"/>
      <c r="G2563" s="3"/>
    </row>
    <row r="2564" spans="6:7" x14ac:dyDescent="0.25">
      <c r="F2564" s="3"/>
      <c r="G2564" s="3"/>
    </row>
    <row r="2565" spans="6:7" x14ac:dyDescent="0.25">
      <c r="F2565" s="3"/>
      <c r="G2565" s="3"/>
    </row>
    <row r="2566" spans="6:7" x14ac:dyDescent="0.25">
      <c r="F2566" s="3"/>
      <c r="G2566" s="3"/>
    </row>
    <row r="2567" spans="6:7" x14ac:dyDescent="0.25">
      <c r="F2567" s="3"/>
      <c r="G2567" s="3"/>
    </row>
    <row r="2568" spans="6:7" x14ac:dyDescent="0.25">
      <c r="F2568" s="3"/>
      <c r="G2568" s="3"/>
    </row>
    <row r="2569" spans="6:7" x14ac:dyDescent="0.25">
      <c r="F2569" s="3"/>
      <c r="G2569" s="3"/>
    </row>
    <row r="2570" spans="6:7" x14ac:dyDescent="0.25">
      <c r="F2570" s="3"/>
      <c r="G2570" s="3"/>
    </row>
    <row r="2571" spans="6:7" x14ac:dyDescent="0.25">
      <c r="F2571" s="3"/>
      <c r="G2571" s="3"/>
    </row>
    <row r="2572" spans="6:7" x14ac:dyDescent="0.25">
      <c r="F2572" s="3"/>
      <c r="G2572" s="3"/>
    </row>
    <row r="2573" spans="6:7" x14ac:dyDescent="0.25">
      <c r="F2573" s="3"/>
      <c r="G2573" s="3"/>
    </row>
    <row r="2574" spans="6:7" x14ac:dyDescent="0.25">
      <c r="F2574" s="3"/>
      <c r="G2574" s="3"/>
    </row>
    <row r="2575" spans="6:7" x14ac:dyDescent="0.25">
      <c r="F2575" s="3"/>
      <c r="G2575" s="3"/>
    </row>
    <row r="2576" spans="6:7" x14ac:dyDescent="0.25">
      <c r="F2576" s="3"/>
      <c r="G2576" s="3"/>
    </row>
    <row r="2577" spans="6:7" x14ac:dyDescent="0.25">
      <c r="F2577" s="3"/>
      <c r="G2577" s="3"/>
    </row>
    <row r="2578" spans="6:7" x14ac:dyDescent="0.25">
      <c r="F2578" s="3"/>
      <c r="G2578" s="3"/>
    </row>
    <row r="2579" spans="6:7" x14ac:dyDescent="0.25">
      <c r="F2579" s="3"/>
      <c r="G2579" s="3"/>
    </row>
    <row r="2580" spans="6:7" x14ac:dyDescent="0.25">
      <c r="F2580" s="3"/>
      <c r="G2580" s="3"/>
    </row>
    <row r="2581" spans="6:7" x14ac:dyDescent="0.25">
      <c r="F2581" s="3"/>
      <c r="G2581" s="3"/>
    </row>
    <row r="2582" spans="6:7" x14ac:dyDescent="0.25">
      <c r="F2582" s="3"/>
      <c r="G2582" s="3"/>
    </row>
    <row r="2583" spans="6:7" x14ac:dyDescent="0.25">
      <c r="F2583" s="3"/>
      <c r="G2583" s="3"/>
    </row>
    <row r="2584" spans="6:7" x14ac:dyDescent="0.25">
      <c r="F2584" s="3"/>
      <c r="G2584" s="3"/>
    </row>
    <row r="2585" spans="6:7" x14ac:dyDescent="0.25">
      <c r="F2585" s="3"/>
      <c r="G2585" s="3"/>
    </row>
    <row r="2586" spans="6:7" x14ac:dyDescent="0.25">
      <c r="F2586" s="3"/>
      <c r="G2586" s="3"/>
    </row>
    <row r="2587" spans="6:7" x14ac:dyDescent="0.25">
      <c r="F2587" s="3"/>
      <c r="G2587" s="3"/>
    </row>
    <row r="2588" spans="6:7" x14ac:dyDescent="0.25">
      <c r="F2588" s="3"/>
      <c r="G2588" s="3"/>
    </row>
    <row r="2589" spans="6:7" x14ac:dyDescent="0.25">
      <c r="F2589" s="3"/>
      <c r="G2589" s="3"/>
    </row>
    <row r="2590" spans="6:7" x14ac:dyDescent="0.25">
      <c r="F2590" s="3"/>
      <c r="G2590" s="3"/>
    </row>
    <row r="2591" spans="6:7" x14ac:dyDescent="0.25">
      <c r="F2591" s="3"/>
      <c r="G2591" s="3"/>
    </row>
    <row r="2592" spans="6:7" x14ac:dyDescent="0.25">
      <c r="F2592" s="3"/>
      <c r="G2592" s="3"/>
    </row>
    <row r="2593" spans="6:7" x14ac:dyDescent="0.25">
      <c r="F2593" s="3"/>
      <c r="G2593" s="3"/>
    </row>
  </sheetData>
  <pageMargins left="0.7" right="0.7" top="0.75" bottom="0.75" header="0.3" footer="0.3"/>
  <ignoredErrors>
    <ignoredError sqref="F1 H1:K4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7"/>
  <sheetViews>
    <sheetView workbookViewId="0"/>
  </sheetViews>
  <sheetFormatPr defaultRowHeight="15.75" x14ac:dyDescent="0.25"/>
  <cols>
    <col min="1" max="8" width="14.875" customWidth="1"/>
    <col min="9" max="9" width="18.625" bestFit="1" customWidth="1"/>
    <col min="10" max="10" width="10.5" bestFit="1" customWidth="1"/>
    <col min="11" max="16" width="11.125" customWidth="1"/>
    <col min="17" max="17" width="15.75" bestFit="1" customWidth="1"/>
    <col min="18" max="18" width="14" bestFit="1" customWidth="1"/>
  </cols>
  <sheetData>
    <row r="1" spans="1:18" x14ac:dyDescent="0.25">
      <c r="A1" s="2" t="s">
        <v>40</v>
      </c>
      <c r="B1" s="1" t="s">
        <v>28</v>
      </c>
      <c r="C1" s="2" t="s">
        <v>34</v>
      </c>
      <c r="D1" s="2" t="s">
        <v>35</v>
      </c>
      <c r="E1" s="2" t="s">
        <v>27</v>
      </c>
      <c r="F1" s="2" t="s">
        <v>39</v>
      </c>
      <c r="G1" s="2" t="s">
        <v>38</v>
      </c>
      <c r="H1" s="2" t="s">
        <v>36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1" t="str">
        <f>"cs_"&amp;F2</f>
        <v>cs_46023</v>
      </c>
      <c r="B2" s="1" t="s">
        <v>29</v>
      </c>
      <c r="C2" s="2" t="s">
        <v>5</v>
      </c>
      <c r="D2" s="1" t="str">
        <f>TEXT(F2,"mmm")</f>
        <v>Jan</v>
      </c>
      <c r="E2" s="1" t="str">
        <f>TEXT(F2,"yyyy")</f>
        <v>2026</v>
      </c>
      <c r="F2" s="4">
        <v>46023</v>
      </c>
      <c r="G2" s="1">
        <v>12</v>
      </c>
      <c r="H2" s="1" t="s">
        <v>37</v>
      </c>
      <c r="I2" s="1" t="s">
        <v>17</v>
      </c>
      <c r="J2" s="1" t="s">
        <v>18</v>
      </c>
      <c r="K2" s="1">
        <v>17.32</v>
      </c>
      <c r="L2" s="1">
        <v>47.8</v>
      </c>
      <c r="M2" s="1">
        <v>35.67</v>
      </c>
      <c r="N2" s="1">
        <v>16.88</v>
      </c>
      <c r="O2" s="1">
        <v>0.80679999999999996</v>
      </c>
      <c r="P2" s="1">
        <v>1.92</v>
      </c>
      <c r="Q2" s="1">
        <v>82.68</v>
      </c>
      <c r="R2" s="1">
        <v>18.559999999999999</v>
      </c>
    </row>
    <row r="3" spans="1:18" x14ac:dyDescent="0.25">
      <c r="A3" s="1" t="str">
        <f t="shared" ref="A3:A14" si="0">"cs_"&amp;F3</f>
        <v>cs_46023</v>
      </c>
      <c r="B3" s="1" t="s">
        <v>29</v>
      </c>
      <c r="C3" s="2" t="s">
        <v>5</v>
      </c>
      <c r="D3" s="1" t="str">
        <f t="shared" ref="D3:D14" si="1">TEXT(F3,"mmm")</f>
        <v>Jan</v>
      </c>
      <c r="E3" s="1" t="str">
        <f t="shared" ref="E3:E27" si="2">TEXT(F3,"yyyy")</f>
        <v>2026</v>
      </c>
      <c r="F3" s="4">
        <v>46023</v>
      </c>
      <c r="G3" s="1">
        <v>12</v>
      </c>
      <c r="H3" s="1" t="s">
        <v>37</v>
      </c>
      <c r="I3" s="1" t="s">
        <v>19</v>
      </c>
      <c r="J3" s="1" t="s">
        <v>18</v>
      </c>
      <c r="K3" s="1">
        <v>4.54</v>
      </c>
      <c r="L3" s="1">
        <v>16.97</v>
      </c>
      <c r="M3" s="1">
        <v>12.65</v>
      </c>
      <c r="N3" s="1">
        <v>5.47</v>
      </c>
      <c r="O3" s="1">
        <v>0.93459999999999999</v>
      </c>
      <c r="P3" s="1">
        <v>0.88</v>
      </c>
      <c r="Q3" s="1">
        <v>95.46</v>
      </c>
      <c r="R3" s="1">
        <v>4.96</v>
      </c>
    </row>
    <row r="4" spans="1:18" x14ac:dyDescent="0.25">
      <c r="A4" s="1" t="str">
        <f t="shared" si="0"/>
        <v>cs_46023</v>
      </c>
      <c r="B4" s="1" t="s">
        <v>29</v>
      </c>
      <c r="C4" s="2" t="s">
        <v>5</v>
      </c>
      <c r="D4" s="1" t="str">
        <f t="shared" si="1"/>
        <v>Jan</v>
      </c>
      <c r="E4" s="1" t="str">
        <f t="shared" si="2"/>
        <v>2026</v>
      </c>
      <c r="F4" s="4">
        <v>46023</v>
      </c>
      <c r="G4" s="1">
        <v>12</v>
      </c>
      <c r="H4" s="1" t="s">
        <v>37</v>
      </c>
      <c r="I4" s="1" t="s">
        <v>20</v>
      </c>
      <c r="J4" s="1" t="s">
        <v>18</v>
      </c>
      <c r="K4" s="1">
        <v>14.05</v>
      </c>
      <c r="L4" s="1">
        <v>40.86</v>
      </c>
      <c r="M4" s="1">
        <v>26.69</v>
      </c>
      <c r="N4" s="1">
        <v>15.29</v>
      </c>
      <c r="O4" s="1">
        <v>0.83950000000000002</v>
      </c>
      <c r="P4" s="1">
        <v>1</v>
      </c>
      <c r="Q4" s="1">
        <v>85.95</v>
      </c>
      <c r="R4" s="1">
        <v>15.05</v>
      </c>
    </row>
    <row r="5" spans="1:18" x14ac:dyDescent="0.25">
      <c r="A5" s="1" t="str">
        <f t="shared" si="0"/>
        <v>cs_46023</v>
      </c>
      <c r="B5" s="1" t="s">
        <v>29</v>
      </c>
      <c r="C5" s="2" t="s">
        <v>5</v>
      </c>
      <c r="D5" s="1" t="str">
        <f t="shared" si="1"/>
        <v>Jan</v>
      </c>
      <c r="E5" s="1" t="str">
        <f t="shared" si="2"/>
        <v>2026</v>
      </c>
      <c r="F5" s="4">
        <v>46023</v>
      </c>
      <c r="G5" s="1">
        <v>12</v>
      </c>
      <c r="H5" s="1" t="s">
        <v>37</v>
      </c>
      <c r="I5" s="1" t="s">
        <v>21</v>
      </c>
      <c r="J5" s="1" t="s">
        <v>18</v>
      </c>
      <c r="K5" s="1">
        <v>14.8</v>
      </c>
      <c r="L5" s="1">
        <v>39.56</v>
      </c>
      <c r="M5" s="1">
        <v>29.51</v>
      </c>
      <c r="N5" s="1">
        <v>14.71</v>
      </c>
      <c r="O5" s="1">
        <v>0.83199999999999996</v>
      </c>
      <c r="P5" s="1">
        <v>2.23</v>
      </c>
      <c r="Q5" s="1">
        <v>85.2</v>
      </c>
      <c r="R5" s="1">
        <v>15.96</v>
      </c>
    </row>
    <row r="6" spans="1:18" x14ac:dyDescent="0.25">
      <c r="A6" s="1" t="str">
        <f t="shared" si="0"/>
        <v>cs_46023</v>
      </c>
      <c r="B6" s="1" t="s">
        <v>29</v>
      </c>
      <c r="C6" s="2" t="s">
        <v>5</v>
      </c>
      <c r="D6" s="1" t="str">
        <f t="shared" si="1"/>
        <v>Jan</v>
      </c>
      <c r="E6" s="1" t="str">
        <f t="shared" si="2"/>
        <v>2026</v>
      </c>
      <c r="F6" s="4">
        <v>46023</v>
      </c>
      <c r="G6" s="1">
        <v>12</v>
      </c>
      <c r="H6" s="1" t="s">
        <v>37</v>
      </c>
      <c r="I6" s="1" t="s">
        <v>22</v>
      </c>
      <c r="J6" s="1" t="s">
        <v>18</v>
      </c>
      <c r="K6" s="1">
        <v>12.62</v>
      </c>
      <c r="L6" s="1">
        <v>36.57</v>
      </c>
      <c r="M6" s="1">
        <v>24.04</v>
      </c>
      <c r="N6" s="1">
        <v>12.24</v>
      </c>
      <c r="O6" s="1">
        <v>0.8538</v>
      </c>
      <c r="P6" s="1">
        <v>-2.85</v>
      </c>
      <c r="Q6" s="1">
        <v>87.38</v>
      </c>
      <c r="R6" s="1">
        <v>13.35</v>
      </c>
    </row>
    <row r="7" spans="1:18" x14ac:dyDescent="0.25">
      <c r="A7" s="1" t="str">
        <f t="shared" si="0"/>
        <v>cs_46023</v>
      </c>
      <c r="B7" s="1" t="s">
        <v>29</v>
      </c>
      <c r="C7" s="2" t="s">
        <v>5</v>
      </c>
      <c r="D7" s="1" t="str">
        <f t="shared" si="1"/>
        <v>Jan</v>
      </c>
      <c r="E7" s="1" t="str">
        <f t="shared" si="2"/>
        <v>2026</v>
      </c>
      <c r="F7" s="4">
        <v>46023</v>
      </c>
      <c r="G7" s="1">
        <v>12</v>
      </c>
      <c r="H7" s="1" t="s">
        <v>37</v>
      </c>
      <c r="I7" s="1" t="s">
        <v>23</v>
      </c>
      <c r="J7" s="1" t="s">
        <v>18</v>
      </c>
      <c r="K7" s="1">
        <v>17.95</v>
      </c>
      <c r="L7" s="1">
        <v>52.66</v>
      </c>
      <c r="M7" s="1">
        <v>36.93</v>
      </c>
      <c r="N7" s="1">
        <v>18.28</v>
      </c>
      <c r="O7" s="1">
        <v>0.80049999999999999</v>
      </c>
      <c r="P7" s="1">
        <v>2.06</v>
      </c>
      <c r="Q7" s="1">
        <v>82.05</v>
      </c>
      <c r="R7" s="1">
        <v>19.309999999999999</v>
      </c>
    </row>
    <row r="8" spans="1:18" x14ac:dyDescent="0.25">
      <c r="A8" s="1" t="str">
        <f t="shared" si="0"/>
        <v>cs_46023</v>
      </c>
      <c r="B8" s="1" t="s">
        <v>29</v>
      </c>
      <c r="C8" s="2" t="s">
        <v>5</v>
      </c>
      <c r="D8" s="1" t="str">
        <f t="shared" si="1"/>
        <v>Jan</v>
      </c>
      <c r="E8" s="1" t="str">
        <f t="shared" si="2"/>
        <v>2026</v>
      </c>
      <c r="F8" s="4">
        <v>46023</v>
      </c>
      <c r="G8" s="1">
        <v>12</v>
      </c>
      <c r="H8" s="1" t="s">
        <v>37</v>
      </c>
      <c r="I8" s="1" t="s">
        <v>24</v>
      </c>
      <c r="J8" s="1" t="s">
        <v>18</v>
      </c>
      <c r="K8" s="1">
        <v>9.33</v>
      </c>
      <c r="L8" s="1">
        <v>23.67</v>
      </c>
      <c r="M8" s="1">
        <v>17.579999999999998</v>
      </c>
      <c r="N8" s="1">
        <v>9.61</v>
      </c>
      <c r="O8" s="1">
        <v>0.88670000000000004</v>
      </c>
      <c r="P8" s="1">
        <v>-1.56</v>
      </c>
      <c r="Q8" s="1">
        <v>90.67</v>
      </c>
      <c r="R8" s="1">
        <v>11.27</v>
      </c>
    </row>
    <row r="9" spans="1:18" x14ac:dyDescent="0.25">
      <c r="A9" s="1" t="str">
        <f t="shared" si="0"/>
        <v>cs_46023</v>
      </c>
      <c r="B9" s="1" t="s">
        <v>29</v>
      </c>
      <c r="C9" s="2" t="s">
        <v>5</v>
      </c>
      <c r="D9" s="1" t="str">
        <f t="shared" si="1"/>
        <v>Jan</v>
      </c>
      <c r="E9" s="1" t="str">
        <f t="shared" si="2"/>
        <v>2026</v>
      </c>
      <c r="F9" s="4">
        <v>46023</v>
      </c>
      <c r="G9" s="1">
        <v>12</v>
      </c>
      <c r="H9" s="1" t="s">
        <v>37</v>
      </c>
      <c r="I9" s="1" t="s">
        <v>25</v>
      </c>
      <c r="J9" s="1" t="s">
        <v>18</v>
      </c>
      <c r="K9" s="1">
        <v>9.64</v>
      </c>
      <c r="L9" s="1">
        <v>28.07</v>
      </c>
      <c r="M9" s="1">
        <v>20.420000000000002</v>
      </c>
      <c r="N9" s="1">
        <v>9.48</v>
      </c>
      <c r="O9" s="1">
        <v>0.88360000000000005</v>
      </c>
      <c r="P9" s="1">
        <v>-2.33</v>
      </c>
      <c r="Q9" s="1">
        <v>90.36</v>
      </c>
      <c r="R9" s="1">
        <v>10.88</v>
      </c>
    </row>
    <row r="10" spans="1:18" x14ac:dyDescent="0.25">
      <c r="A10" s="1" t="str">
        <f t="shared" si="0"/>
        <v>cs_46023</v>
      </c>
      <c r="B10" s="1" t="s">
        <v>29</v>
      </c>
      <c r="C10" s="2" t="s">
        <v>5</v>
      </c>
      <c r="D10" s="1" t="str">
        <f t="shared" si="1"/>
        <v>Jan</v>
      </c>
      <c r="E10" s="1" t="str">
        <f t="shared" si="2"/>
        <v>2026</v>
      </c>
      <c r="F10" s="4">
        <v>46023</v>
      </c>
      <c r="G10" s="1">
        <v>12</v>
      </c>
      <c r="H10" s="1" t="s">
        <v>37</v>
      </c>
      <c r="I10" s="1" t="s">
        <v>17</v>
      </c>
      <c r="J10" s="1" t="s">
        <v>26</v>
      </c>
      <c r="K10" s="1">
        <v>13.24</v>
      </c>
      <c r="L10" s="1">
        <v>39.26</v>
      </c>
      <c r="M10" s="1">
        <v>25.62</v>
      </c>
      <c r="N10" s="1">
        <v>13.65</v>
      </c>
      <c r="O10" s="1">
        <v>0.84760000000000002</v>
      </c>
      <c r="P10" s="1">
        <v>0.23</v>
      </c>
      <c r="Q10" s="1">
        <v>86.76</v>
      </c>
      <c r="R10" s="1">
        <v>15.89</v>
      </c>
    </row>
    <row r="11" spans="1:18" x14ac:dyDescent="0.25">
      <c r="A11" s="1" t="str">
        <f t="shared" si="0"/>
        <v>cs_46023</v>
      </c>
      <c r="B11" s="1" t="s">
        <v>29</v>
      </c>
      <c r="C11" s="2" t="s">
        <v>5</v>
      </c>
      <c r="D11" s="1" t="str">
        <f t="shared" si="1"/>
        <v>Jan</v>
      </c>
      <c r="E11" s="1" t="str">
        <f t="shared" si="2"/>
        <v>2026</v>
      </c>
      <c r="F11" s="4">
        <v>46023</v>
      </c>
      <c r="G11" s="1">
        <v>12</v>
      </c>
      <c r="H11" s="1" t="s">
        <v>37</v>
      </c>
      <c r="I11" s="1" t="s">
        <v>20</v>
      </c>
      <c r="J11" s="1" t="s">
        <v>26</v>
      </c>
      <c r="K11" s="1">
        <v>14.64</v>
      </c>
      <c r="L11" s="1">
        <v>39.229999999999997</v>
      </c>
      <c r="M11" s="1">
        <v>29.02</v>
      </c>
      <c r="N11" s="1">
        <v>14.82</v>
      </c>
      <c r="O11" s="1">
        <v>0.83360000000000001</v>
      </c>
      <c r="P11" s="1">
        <v>2.74</v>
      </c>
      <c r="Q11" s="1">
        <v>85.36</v>
      </c>
      <c r="R11" s="1">
        <v>15.65</v>
      </c>
    </row>
    <row r="12" spans="1:18" x14ac:dyDescent="0.25">
      <c r="A12" s="1" t="str">
        <f t="shared" si="0"/>
        <v>cs_46023</v>
      </c>
      <c r="B12" s="1" t="s">
        <v>29</v>
      </c>
      <c r="C12" s="2" t="s">
        <v>5</v>
      </c>
      <c r="D12" s="1" t="str">
        <f t="shared" si="1"/>
        <v>Jan</v>
      </c>
      <c r="E12" s="1" t="str">
        <f t="shared" si="2"/>
        <v>2026</v>
      </c>
      <c r="F12" s="4">
        <v>46023</v>
      </c>
      <c r="G12" s="1">
        <v>12</v>
      </c>
      <c r="H12" s="1" t="s">
        <v>37</v>
      </c>
      <c r="I12" s="1" t="s">
        <v>22</v>
      </c>
      <c r="J12" s="1" t="s">
        <v>26</v>
      </c>
      <c r="K12" s="1">
        <v>9.5500000000000007</v>
      </c>
      <c r="L12" s="1">
        <v>25.45</v>
      </c>
      <c r="M12" s="1">
        <v>21.47</v>
      </c>
      <c r="N12" s="1">
        <v>9.1</v>
      </c>
      <c r="O12" s="1">
        <v>0.88449999999999995</v>
      </c>
      <c r="P12" s="1">
        <v>-1.48</v>
      </c>
      <c r="Q12" s="1">
        <v>90.45</v>
      </c>
      <c r="R12" s="1">
        <v>10.74</v>
      </c>
    </row>
    <row r="13" spans="1:18" x14ac:dyDescent="0.25">
      <c r="A13" s="1" t="str">
        <f t="shared" si="0"/>
        <v>cs_46023</v>
      </c>
      <c r="B13" s="1" t="s">
        <v>29</v>
      </c>
      <c r="C13" s="2" t="s">
        <v>5</v>
      </c>
      <c r="D13" s="1" t="str">
        <f t="shared" si="1"/>
        <v>Jan</v>
      </c>
      <c r="E13" s="1" t="str">
        <f t="shared" si="2"/>
        <v>2026</v>
      </c>
      <c r="F13" s="4">
        <v>46023</v>
      </c>
      <c r="G13" s="1">
        <v>12</v>
      </c>
      <c r="H13" s="1" t="s">
        <v>37</v>
      </c>
      <c r="I13" s="1" t="s">
        <v>24</v>
      </c>
      <c r="J13" s="1" t="s">
        <v>26</v>
      </c>
      <c r="K13" s="1">
        <v>7.73</v>
      </c>
      <c r="L13" s="1">
        <v>23.42</v>
      </c>
      <c r="M13" s="1">
        <v>18.47</v>
      </c>
      <c r="N13" s="1">
        <v>7.81</v>
      </c>
      <c r="O13" s="1">
        <v>0.90269999999999995</v>
      </c>
      <c r="P13" s="1">
        <v>2.4900000000000002</v>
      </c>
      <c r="Q13" s="1">
        <v>92.27</v>
      </c>
      <c r="R13" s="1">
        <v>9.3699999999999992</v>
      </c>
    </row>
    <row r="14" spans="1:18" x14ac:dyDescent="0.25">
      <c r="A14" s="1" t="str">
        <f t="shared" si="0"/>
        <v>cs_46023</v>
      </c>
      <c r="B14" s="1" t="s">
        <v>29</v>
      </c>
      <c r="C14" s="2" t="s">
        <v>5</v>
      </c>
      <c r="D14" s="1" t="str">
        <f t="shared" si="1"/>
        <v>Jan</v>
      </c>
      <c r="E14" s="1" t="str">
        <f t="shared" si="2"/>
        <v>2026</v>
      </c>
      <c r="F14" s="4">
        <v>46023</v>
      </c>
      <c r="G14" s="1">
        <v>12</v>
      </c>
      <c r="H14" s="1" t="s">
        <v>37</v>
      </c>
      <c r="I14" s="1" t="s">
        <v>25</v>
      </c>
      <c r="J14" s="1" t="s">
        <v>26</v>
      </c>
      <c r="K14" s="1">
        <v>5.43</v>
      </c>
      <c r="L14" s="1">
        <v>20.309999999999999</v>
      </c>
      <c r="M14" s="1">
        <v>10.44</v>
      </c>
      <c r="N14" s="1">
        <v>6.09</v>
      </c>
      <c r="O14" s="1">
        <v>0.92569999999999997</v>
      </c>
      <c r="P14" s="1">
        <v>-1.1100000000000001</v>
      </c>
      <c r="Q14" s="1">
        <v>94.57</v>
      </c>
      <c r="R14" s="1">
        <v>6.11</v>
      </c>
    </row>
    <row r="15" spans="1:18" x14ac:dyDescent="0.25">
      <c r="A15" s="1" t="str">
        <f>"coll_"&amp;F15</f>
        <v>coll_46023</v>
      </c>
      <c r="B15" s="1" t="s">
        <v>33</v>
      </c>
      <c r="C15" s="2" t="s">
        <v>5</v>
      </c>
      <c r="D15" s="1" t="str">
        <f>TEXT(F15,"mmm")</f>
        <v>Jan</v>
      </c>
      <c r="E15" s="1" t="str">
        <f>TEXT(F15,"yyyy")</f>
        <v>2026</v>
      </c>
      <c r="F15" s="4">
        <v>46023</v>
      </c>
      <c r="G15" s="1">
        <v>12</v>
      </c>
      <c r="H15" s="1" t="s">
        <v>37</v>
      </c>
      <c r="I15" s="1" t="s">
        <v>17</v>
      </c>
      <c r="J15" s="1" t="s">
        <v>18</v>
      </c>
      <c r="K15" s="1">
        <v>17.32</v>
      </c>
      <c r="L15" s="1">
        <v>47.8</v>
      </c>
      <c r="M15" s="1">
        <v>35.67</v>
      </c>
      <c r="N15" s="1">
        <v>16.88</v>
      </c>
      <c r="O15" s="1">
        <v>0.80679999999999996</v>
      </c>
      <c r="P15" s="1">
        <v>1.92</v>
      </c>
      <c r="Q15" s="1">
        <v>82.68</v>
      </c>
      <c r="R15" s="1">
        <v>18.559999999999999</v>
      </c>
    </row>
    <row r="16" spans="1:18" x14ac:dyDescent="0.25">
      <c r="A16" s="1" t="str">
        <f t="shared" ref="A16:A27" si="3">"coll_"&amp;F16</f>
        <v>coll_46023</v>
      </c>
      <c r="B16" s="1" t="s">
        <v>33</v>
      </c>
      <c r="C16" s="2" t="s">
        <v>5</v>
      </c>
      <c r="D16" s="1" t="str">
        <f t="shared" ref="D16:D27" si="4">TEXT(F16,"mmm")</f>
        <v>Jan</v>
      </c>
      <c r="E16" s="1" t="str">
        <f t="shared" si="2"/>
        <v>2026</v>
      </c>
      <c r="F16" s="4">
        <v>46023</v>
      </c>
      <c r="G16" s="1">
        <v>12</v>
      </c>
      <c r="H16" s="1" t="s">
        <v>37</v>
      </c>
      <c r="I16" s="1" t="s">
        <v>19</v>
      </c>
      <c r="J16" s="1" t="s">
        <v>18</v>
      </c>
      <c r="K16" s="1">
        <v>4.54</v>
      </c>
      <c r="L16" s="1">
        <v>16.97</v>
      </c>
      <c r="M16" s="1">
        <v>12.65</v>
      </c>
      <c r="N16" s="1">
        <v>5.47</v>
      </c>
      <c r="O16" s="1">
        <v>0.93459999999999999</v>
      </c>
      <c r="P16" s="1">
        <v>0.88</v>
      </c>
      <c r="Q16" s="1">
        <v>95.46</v>
      </c>
      <c r="R16" s="1">
        <v>4.96</v>
      </c>
    </row>
    <row r="17" spans="1:18" x14ac:dyDescent="0.25">
      <c r="A17" s="1" t="str">
        <f t="shared" si="3"/>
        <v>coll_46023</v>
      </c>
      <c r="B17" s="1" t="s">
        <v>33</v>
      </c>
      <c r="C17" s="2" t="s">
        <v>5</v>
      </c>
      <c r="D17" s="1" t="str">
        <f t="shared" si="4"/>
        <v>Jan</v>
      </c>
      <c r="E17" s="1" t="str">
        <f t="shared" si="2"/>
        <v>2026</v>
      </c>
      <c r="F17" s="4">
        <v>46023</v>
      </c>
      <c r="G17" s="1">
        <v>12</v>
      </c>
      <c r="H17" s="1" t="s">
        <v>37</v>
      </c>
      <c r="I17" s="1" t="s">
        <v>20</v>
      </c>
      <c r="J17" s="1" t="s">
        <v>18</v>
      </c>
      <c r="K17" s="1">
        <v>14.05</v>
      </c>
      <c r="L17" s="1">
        <v>40.86</v>
      </c>
      <c r="M17" s="1">
        <v>26.69</v>
      </c>
      <c r="N17" s="1">
        <v>15.29</v>
      </c>
      <c r="O17" s="1">
        <v>0.83950000000000002</v>
      </c>
      <c r="P17" s="1">
        <v>1</v>
      </c>
      <c r="Q17" s="1">
        <v>85.95</v>
      </c>
      <c r="R17" s="1">
        <v>15.05</v>
      </c>
    </row>
    <row r="18" spans="1:18" x14ac:dyDescent="0.25">
      <c r="A18" s="1" t="str">
        <f t="shared" si="3"/>
        <v>coll_46023</v>
      </c>
      <c r="B18" s="1" t="s">
        <v>33</v>
      </c>
      <c r="C18" s="2" t="s">
        <v>5</v>
      </c>
      <c r="D18" s="1" t="str">
        <f t="shared" si="4"/>
        <v>Jan</v>
      </c>
      <c r="E18" s="1" t="str">
        <f t="shared" si="2"/>
        <v>2026</v>
      </c>
      <c r="F18" s="4">
        <v>46023</v>
      </c>
      <c r="G18" s="1">
        <v>12</v>
      </c>
      <c r="H18" s="1" t="s">
        <v>37</v>
      </c>
      <c r="I18" s="1" t="s">
        <v>21</v>
      </c>
      <c r="J18" s="1" t="s">
        <v>18</v>
      </c>
      <c r="K18" s="1">
        <v>14.8</v>
      </c>
      <c r="L18" s="1">
        <v>39.56</v>
      </c>
      <c r="M18" s="1">
        <v>29.51</v>
      </c>
      <c r="N18" s="1">
        <v>14.71</v>
      </c>
      <c r="O18" s="1">
        <v>0.83199999999999996</v>
      </c>
      <c r="P18" s="1">
        <v>2.23</v>
      </c>
      <c r="Q18" s="1">
        <v>85.2</v>
      </c>
      <c r="R18" s="1">
        <v>15.96</v>
      </c>
    </row>
    <row r="19" spans="1:18" x14ac:dyDescent="0.25">
      <c r="A19" s="1" t="str">
        <f t="shared" si="3"/>
        <v>coll_46023</v>
      </c>
      <c r="B19" s="1" t="s">
        <v>33</v>
      </c>
      <c r="C19" s="2" t="s">
        <v>5</v>
      </c>
      <c r="D19" s="1" t="str">
        <f t="shared" si="4"/>
        <v>Jan</v>
      </c>
      <c r="E19" s="1" t="str">
        <f t="shared" si="2"/>
        <v>2026</v>
      </c>
      <c r="F19" s="4">
        <v>46023</v>
      </c>
      <c r="G19" s="1">
        <v>12</v>
      </c>
      <c r="H19" s="1" t="s">
        <v>37</v>
      </c>
      <c r="I19" s="1" t="s">
        <v>22</v>
      </c>
      <c r="J19" s="1" t="s">
        <v>18</v>
      </c>
      <c r="K19" s="1">
        <v>12.62</v>
      </c>
      <c r="L19" s="1">
        <v>36.57</v>
      </c>
      <c r="M19" s="1">
        <v>24.04</v>
      </c>
      <c r="N19" s="1">
        <v>12.24</v>
      </c>
      <c r="O19" s="1">
        <v>0.8538</v>
      </c>
      <c r="P19" s="1">
        <v>-2.85</v>
      </c>
      <c r="Q19" s="1">
        <v>87.38</v>
      </c>
      <c r="R19" s="1">
        <v>13.35</v>
      </c>
    </row>
    <row r="20" spans="1:18" x14ac:dyDescent="0.25">
      <c r="A20" s="1" t="str">
        <f t="shared" si="3"/>
        <v>coll_46023</v>
      </c>
      <c r="B20" s="1" t="s">
        <v>33</v>
      </c>
      <c r="C20" s="2" t="s">
        <v>5</v>
      </c>
      <c r="D20" s="1" t="str">
        <f t="shared" si="4"/>
        <v>Jan</v>
      </c>
      <c r="E20" s="1" t="str">
        <f t="shared" si="2"/>
        <v>2026</v>
      </c>
      <c r="F20" s="4">
        <v>46023</v>
      </c>
      <c r="G20" s="1">
        <v>12</v>
      </c>
      <c r="H20" s="1" t="s">
        <v>37</v>
      </c>
      <c r="I20" s="1" t="s">
        <v>23</v>
      </c>
      <c r="J20" s="1" t="s">
        <v>18</v>
      </c>
      <c r="K20" s="1">
        <v>17.95</v>
      </c>
      <c r="L20" s="1">
        <v>52.66</v>
      </c>
      <c r="M20" s="1">
        <v>36.93</v>
      </c>
      <c r="N20" s="1">
        <v>18.28</v>
      </c>
      <c r="O20" s="1">
        <v>0.80049999999999999</v>
      </c>
      <c r="P20" s="1">
        <v>2.06</v>
      </c>
      <c r="Q20" s="1">
        <v>82.05</v>
      </c>
      <c r="R20" s="1">
        <v>19.309999999999999</v>
      </c>
    </row>
    <row r="21" spans="1:18" x14ac:dyDescent="0.25">
      <c r="A21" s="1" t="str">
        <f t="shared" si="3"/>
        <v>coll_46023</v>
      </c>
      <c r="B21" s="1" t="s">
        <v>33</v>
      </c>
      <c r="C21" s="2" t="s">
        <v>5</v>
      </c>
      <c r="D21" s="1" t="str">
        <f t="shared" si="4"/>
        <v>Jan</v>
      </c>
      <c r="E21" s="1" t="str">
        <f t="shared" si="2"/>
        <v>2026</v>
      </c>
      <c r="F21" s="4">
        <v>46023</v>
      </c>
      <c r="G21" s="1">
        <v>12</v>
      </c>
      <c r="H21" s="1" t="s">
        <v>37</v>
      </c>
      <c r="I21" s="1" t="s">
        <v>24</v>
      </c>
      <c r="J21" s="1" t="s">
        <v>18</v>
      </c>
      <c r="K21" s="1">
        <v>9.33</v>
      </c>
      <c r="L21" s="1">
        <v>23.67</v>
      </c>
      <c r="M21" s="1">
        <v>17.579999999999998</v>
      </c>
      <c r="N21" s="1">
        <v>9.61</v>
      </c>
      <c r="O21" s="1">
        <v>0.88670000000000004</v>
      </c>
      <c r="P21" s="1">
        <v>-1.56</v>
      </c>
      <c r="Q21" s="1">
        <v>90.67</v>
      </c>
      <c r="R21" s="1">
        <v>11.27</v>
      </c>
    </row>
    <row r="22" spans="1:18" x14ac:dyDescent="0.25">
      <c r="A22" s="1" t="str">
        <f t="shared" si="3"/>
        <v>coll_46023</v>
      </c>
      <c r="B22" s="1" t="s">
        <v>33</v>
      </c>
      <c r="C22" s="2" t="s">
        <v>5</v>
      </c>
      <c r="D22" s="1" t="str">
        <f t="shared" si="4"/>
        <v>Jan</v>
      </c>
      <c r="E22" s="1" t="str">
        <f t="shared" si="2"/>
        <v>2026</v>
      </c>
      <c r="F22" s="4">
        <v>46023</v>
      </c>
      <c r="G22" s="1">
        <v>12</v>
      </c>
      <c r="H22" s="1" t="s">
        <v>37</v>
      </c>
      <c r="I22" s="1" t="s">
        <v>25</v>
      </c>
      <c r="J22" s="1" t="s">
        <v>18</v>
      </c>
      <c r="K22" s="1">
        <v>9.64</v>
      </c>
      <c r="L22" s="1">
        <v>28.07</v>
      </c>
      <c r="M22" s="1">
        <v>20.420000000000002</v>
      </c>
      <c r="N22" s="1">
        <v>9.48</v>
      </c>
      <c r="O22" s="1">
        <v>0.88360000000000005</v>
      </c>
      <c r="P22" s="1">
        <v>-2.33</v>
      </c>
      <c r="Q22" s="1">
        <v>90.36</v>
      </c>
      <c r="R22" s="1">
        <v>10.88</v>
      </c>
    </row>
    <row r="23" spans="1:18" x14ac:dyDescent="0.25">
      <c r="A23" s="1" t="str">
        <f t="shared" si="3"/>
        <v>coll_46023</v>
      </c>
      <c r="B23" s="1" t="s">
        <v>33</v>
      </c>
      <c r="C23" s="2" t="s">
        <v>5</v>
      </c>
      <c r="D23" s="1" t="str">
        <f t="shared" si="4"/>
        <v>Jan</v>
      </c>
      <c r="E23" s="1" t="str">
        <f t="shared" si="2"/>
        <v>2026</v>
      </c>
      <c r="F23" s="4">
        <v>46023</v>
      </c>
      <c r="G23" s="1">
        <v>12</v>
      </c>
      <c r="H23" s="1" t="s">
        <v>37</v>
      </c>
      <c r="I23" s="1" t="s">
        <v>17</v>
      </c>
      <c r="J23" s="1" t="s">
        <v>26</v>
      </c>
      <c r="K23" s="1">
        <v>13.24</v>
      </c>
      <c r="L23" s="1">
        <v>39.26</v>
      </c>
      <c r="M23" s="1">
        <v>25.62</v>
      </c>
      <c r="N23" s="1">
        <v>13.65</v>
      </c>
      <c r="O23" s="1">
        <v>0.84760000000000002</v>
      </c>
      <c r="P23" s="1">
        <v>0.23</v>
      </c>
      <c r="Q23" s="1">
        <v>86.76</v>
      </c>
      <c r="R23" s="1">
        <v>15.89</v>
      </c>
    </row>
    <row r="24" spans="1:18" x14ac:dyDescent="0.25">
      <c r="A24" s="1" t="str">
        <f t="shared" si="3"/>
        <v>coll_46023</v>
      </c>
      <c r="B24" s="1" t="s">
        <v>33</v>
      </c>
      <c r="C24" s="2" t="s">
        <v>5</v>
      </c>
      <c r="D24" s="1" t="str">
        <f t="shared" si="4"/>
        <v>Jan</v>
      </c>
      <c r="E24" s="1" t="str">
        <f t="shared" si="2"/>
        <v>2026</v>
      </c>
      <c r="F24" s="4">
        <v>46023</v>
      </c>
      <c r="G24" s="1">
        <v>12</v>
      </c>
      <c r="H24" s="1" t="s">
        <v>37</v>
      </c>
      <c r="I24" s="1" t="s">
        <v>20</v>
      </c>
      <c r="J24" s="1" t="s">
        <v>26</v>
      </c>
      <c r="K24" s="1">
        <v>14.64</v>
      </c>
      <c r="L24" s="1">
        <v>39.229999999999997</v>
      </c>
      <c r="M24" s="1">
        <v>29.02</v>
      </c>
      <c r="N24" s="1">
        <v>14.82</v>
      </c>
      <c r="O24" s="1">
        <v>0.83360000000000001</v>
      </c>
      <c r="P24" s="1">
        <v>2.74</v>
      </c>
      <c r="Q24" s="1">
        <v>85.36</v>
      </c>
      <c r="R24" s="1">
        <v>15.65</v>
      </c>
    </row>
    <row r="25" spans="1:18" x14ac:dyDescent="0.25">
      <c r="A25" s="1" t="str">
        <f t="shared" si="3"/>
        <v>coll_46023</v>
      </c>
      <c r="B25" s="1" t="s">
        <v>33</v>
      </c>
      <c r="C25" s="2" t="s">
        <v>5</v>
      </c>
      <c r="D25" s="1" t="str">
        <f t="shared" si="4"/>
        <v>Jan</v>
      </c>
      <c r="E25" s="1" t="str">
        <f t="shared" si="2"/>
        <v>2026</v>
      </c>
      <c r="F25" s="4">
        <v>46023</v>
      </c>
      <c r="G25" s="1">
        <v>12</v>
      </c>
      <c r="H25" s="1" t="s">
        <v>37</v>
      </c>
      <c r="I25" s="1" t="s">
        <v>22</v>
      </c>
      <c r="J25" s="1" t="s">
        <v>26</v>
      </c>
      <c r="K25" s="1">
        <v>9.5500000000000007</v>
      </c>
      <c r="L25" s="1">
        <v>25.45</v>
      </c>
      <c r="M25" s="1">
        <v>21.47</v>
      </c>
      <c r="N25" s="1">
        <v>9.1</v>
      </c>
      <c r="O25" s="1">
        <v>0.88449999999999995</v>
      </c>
      <c r="P25" s="1">
        <v>-1.48</v>
      </c>
      <c r="Q25" s="1">
        <v>90.45</v>
      </c>
      <c r="R25" s="1">
        <v>10.74</v>
      </c>
    </row>
    <row r="26" spans="1:18" x14ac:dyDescent="0.25">
      <c r="A26" s="1" t="str">
        <f t="shared" si="3"/>
        <v>coll_46023</v>
      </c>
      <c r="B26" s="1" t="s">
        <v>33</v>
      </c>
      <c r="C26" s="2" t="s">
        <v>5</v>
      </c>
      <c r="D26" s="1" t="str">
        <f t="shared" si="4"/>
        <v>Jan</v>
      </c>
      <c r="E26" s="1" t="str">
        <f t="shared" si="2"/>
        <v>2026</v>
      </c>
      <c r="F26" s="4">
        <v>46023</v>
      </c>
      <c r="G26" s="1">
        <v>12</v>
      </c>
      <c r="H26" s="1" t="s">
        <v>37</v>
      </c>
      <c r="I26" s="1" t="s">
        <v>24</v>
      </c>
      <c r="J26" s="1" t="s">
        <v>26</v>
      </c>
      <c r="K26" s="1">
        <v>7.73</v>
      </c>
      <c r="L26" s="1">
        <v>23.42</v>
      </c>
      <c r="M26" s="1">
        <v>18.47</v>
      </c>
      <c r="N26" s="1">
        <v>7.81</v>
      </c>
      <c r="O26" s="1">
        <v>0.90269999999999995</v>
      </c>
      <c r="P26" s="1">
        <v>2.4900000000000002</v>
      </c>
      <c r="Q26" s="1">
        <v>92.27</v>
      </c>
      <c r="R26" s="1">
        <v>9.3699999999999992</v>
      </c>
    </row>
    <row r="27" spans="1:18" x14ac:dyDescent="0.25">
      <c r="A27" s="1" t="str">
        <f t="shared" si="3"/>
        <v>coll_46023</v>
      </c>
      <c r="B27" s="1" t="s">
        <v>33</v>
      </c>
      <c r="C27" s="2" t="s">
        <v>5</v>
      </c>
      <c r="D27" s="1" t="str">
        <f t="shared" si="4"/>
        <v>Jan</v>
      </c>
      <c r="E27" s="1" t="str">
        <f t="shared" si="2"/>
        <v>2026</v>
      </c>
      <c r="F27" s="4">
        <v>46023</v>
      </c>
      <c r="G27" s="1">
        <v>12</v>
      </c>
      <c r="H27" s="1" t="s">
        <v>37</v>
      </c>
      <c r="I27" s="1" t="s">
        <v>25</v>
      </c>
      <c r="J27" s="1" t="s">
        <v>26</v>
      </c>
      <c r="K27" s="1">
        <v>5.43</v>
      </c>
      <c r="L27" s="1">
        <v>20.309999999999999</v>
      </c>
      <c r="M27" s="1">
        <v>10.44</v>
      </c>
      <c r="N27" s="1">
        <v>6.09</v>
      </c>
      <c r="O27" s="1">
        <v>0.92569999999999997</v>
      </c>
      <c r="P27" s="1">
        <v>-1.1100000000000001</v>
      </c>
      <c r="Q27" s="1">
        <v>94.57</v>
      </c>
      <c r="R27" s="1">
        <v>6.11</v>
      </c>
    </row>
  </sheetData>
  <pageMargins left="0.7" right="0.7" top="0.75" bottom="0.75" header="0.3" footer="0.3"/>
  <ignoredErrors>
    <ignoredError sqref="I1:R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Forecast_vs_Actual</vt:lpstr>
      <vt:lpstr>Model_Metrics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new user</cp:lastModifiedBy>
  <dcterms:modified xsi:type="dcterms:W3CDTF">2026-04-27T21:24:47Z</dcterms:modified>
</cp:coreProperties>
</file>